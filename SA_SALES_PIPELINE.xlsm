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slicers/slicer3.xml" ContentType="application/vnd.ms-excel.slicer+xml"/>
  <Override PartName="/xl/drawings/drawing3.xml" ContentType="application/vnd.openxmlformats-officedocument.drawing+xml"/>
  <Override PartName="/xl/tables/table6.xml" ContentType="application/vnd.openxmlformats-officedocument.spreadsheetml.table+xml"/>
  <Override PartName="/xl/slicers/slicer4.xml" ContentType="application/vnd.ms-excel.slicer+xml"/>
  <Override PartName="/xl/drawings/drawing4.xml" ContentType="application/vnd.openxmlformats-officedocument.drawing+xml"/>
  <Override PartName="/xl/tables/table7.xml" ContentType="application/vnd.openxmlformats-officedocument.spreadsheetml.table+xml"/>
  <Override PartName="/xl/slicers/slicer5.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D:\My Projects\Sales Dashboard\"/>
    </mc:Choice>
  </mc:AlternateContent>
  <xr:revisionPtr revIDLastSave="0" documentId="13_ncr:1_{D84E2BB8-5DD9-4854-9E0F-69F8A2EEDC1D}" xr6:coauthVersionLast="47" xr6:coauthVersionMax="47" xr10:uidLastSave="{00000000-0000-0000-0000-000000000000}"/>
  <bookViews>
    <workbookView xWindow="-108" yWindow="-108" windowWidth="23256" windowHeight="12456" activeTab="2" xr2:uid="{30FD9650-ECEA-4D24-81F7-051A6F4FC3DB}"/>
  </bookViews>
  <sheets>
    <sheet name="Dashboard" sheetId="1" r:id="rId1"/>
    <sheet name="Analysis" sheetId="2" state="hidden" r:id="rId2"/>
    <sheet name="Pipeline" sheetId="3" r:id="rId3"/>
    <sheet name="Won Deals" sheetId="4" r:id="rId4"/>
    <sheet name="Lost Deals" sheetId="5" r:id="rId5"/>
  </sheets>
  <definedNames>
    <definedName name="_xlnm._FilterDatabase" localSheetId="2" hidden="1">Pipeline!$A$3:$J$61</definedName>
    <definedName name="_xlnm.Criteria" localSheetId="1">Analysis!#REF!</definedName>
    <definedName name="_xlnm.Extract" localSheetId="1">Analysis!#REF!</definedName>
    <definedName name="Slicer_MONTH">#N/A</definedName>
    <definedName name="Slicer_MONTH1">#N/A</definedName>
    <definedName name="Slicer_MONTH2">#N/A</definedName>
    <definedName name="Slicer_MONTH3">#N/A</definedName>
    <definedName name="Slicer_MONTH4">#N/A</definedName>
    <definedName name="Slicer_SALES_CHANNEL">#N/A</definedName>
    <definedName name="Slicer_SALES_CHANNEL1">#N/A</definedName>
    <definedName name="Slicer_SALES_CHANNEL2">#N/A</definedName>
    <definedName name="Slicer_SALES_CHANNEL3">#N/A</definedName>
    <definedName name="Slicer_SALES_CHANNEL4">#N/A</definedName>
    <definedName name="Slicer_STAGE">#N/A</definedName>
    <definedName name="Slicer_STATUS">#N/A</definedName>
  </definedNames>
  <calcPr calcId="191029"/>
  <pivotCaches>
    <pivotCache cacheId="0" r:id="rId6"/>
    <pivotCache cacheId="1"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3" i="2" l="1"/>
  <c r="D33" i="2"/>
  <c r="C33" i="2"/>
  <c r="B33" i="2"/>
  <c r="A33" i="2"/>
  <c r="A61" i="3"/>
  <c r="B61" i="3"/>
  <c r="F61" i="3"/>
  <c r="G61" i="3" s="1"/>
  <c r="B240" i="5"/>
  <c r="B241" i="5"/>
  <c r="B242" i="5"/>
  <c r="B243" i="5"/>
  <c r="B244"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4" i="5"/>
  <c r="B4" i="4"/>
  <c r="A240" i="5"/>
  <c r="A241" i="5"/>
  <c r="A242" i="5"/>
  <c r="A243" i="5"/>
  <c r="A244"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4" i="5"/>
  <c r="A4" i="3"/>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B207" i="4"/>
  <c r="B208" i="4"/>
  <c r="B209" i="4"/>
  <c r="B210" i="4"/>
  <c r="B211" i="4"/>
  <c r="B212" i="4"/>
  <c r="B213" i="4"/>
  <c r="B214"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5" i="4"/>
  <c r="B6" i="4"/>
  <c r="B7" i="4"/>
  <c r="B8" i="4"/>
  <c r="B9" i="4"/>
  <c r="B10" i="4"/>
  <c r="B4" i="3"/>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4" i="4"/>
  <c r="F244" i="5" l="1"/>
  <c r="G244" i="5" s="1"/>
  <c r="K214" i="4" a="1"/>
  <c r="K214" i="4"/>
  <c r="G214" i="4"/>
  <c r="F214" i="4"/>
  <c r="K213" i="4" a="1"/>
  <c r="K213" i="4" s="1"/>
  <c r="F213" i="4"/>
  <c r="G213" i="4" s="1"/>
  <c r="F243" i="5"/>
  <c r="G243" i="5" s="1"/>
  <c r="K211" i="4" a="1"/>
  <c r="K211" i="4" s="1"/>
  <c r="K212" i="4" a="1"/>
  <c r="K212" i="4" s="1"/>
  <c r="F212" i="4"/>
  <c r="G212" i="4" s="1"/>
  <c r="F211" i="4"/>
  <c r="G211" i="4" s="1"/>
  <c r="F242" i="5"/>
  <c r="G242" i="5" s="1"/>
  <c r="F241" i="5"/>
  <c r="G241" i="5" s="1"/>
  <c r="F240" i="5"/>
  <c r="G240" i="5" s="1"/>
  <c r="K208" i="4" a="1"/>
  <c r="K208" i="4" s="1"/>
  <c r="K209" i="4" a="1"/>
  <c r="K209" i="4" s="1"/>
  <c r="K210" i="4" a="1"/>
  <c r="K210" i="4" s="1"/>
  <c r="F210" i="4"/>
  <c r="G210" i="4" s="1"/>
  <c r="F209" i="4"/>
  <c r="G209" i="4" s="1"/>
  <c r="G208" i="4"/>
  <c r="F208" i="4"/>
  <c r="K207" i="4" a="1"/>
  <c r="K207" i="4" s="1"/>
  <c r="F207" i="4"/>
  <c r="G207" i="4" s="1"/>
  <c r="K131" i="4" a="1"/>
  <c r="K131" i="4" s="1"/>
  <c r="K132" i="4" a="1"/>
  <c r="K132" i="4" s="1"/>
  <c r="K133" i="4" a="1"/>
  <c r="K133" i="4" s="1"/>
  <c r="K134" i="4" a="1"/>
  <c r="K134" i="4" s="1"/>
  <c r="K135" i="4" a="1"/>
  <c r="K135" i="4" s="1"/>
  <c r="K136" i="4" a="1"/>
  <c r="K136" i="4" s="1"/>
  <c r="K137" i="4" a="1"/>
  <c r="K137" i="4" s="1"/>
  <c r="K138" i="4" a="1"/>
  <c r="K138" i="4" s="1"/>
  <c r="K139" i="4" a="1"/>
  <c r="K139" i="4" s="1"/>
  <c r="K140" i="4" a="1"/>
  <c r="K140" i="4" s="1"/>
  <c r="K141" i="4" a="1"/>
  <c r="K141" i="4" s="1"/>
  <c r="K142" i="4" a="1"/>
  <c r="K142" i="4" s="1"/>
  <c r="K143" i="4" a="1"/>
  <c r="K143" i="4" s="1"/>
  <c r="K144" i="4" a="1"/>
  <c r="K144" i="4" s="1"/>
  <c r="K145" i="4" a="1"/>
  <c r="K145" i="4" s="1"/>
  <c r="K146" i="4" a="1"/>
  <c r="K146" i="4" s="1"/>
  <c r="K147" i="4" a="1"/>
  <c r="K147" i="4" s="1"/>
  <c r="K148" i="4" a="1"/>
  <c r="K148" i="4" s="1"/>
  <c r="K149" i="4" a="1"/>
  <c r="K149" i="4" s="1"/>
  <c r="K150" i="4" a="1"/>
  <c r="K150" i="4" s="1"/>
  <c r="K151" i="4" a="1"/>
  <c r="K151" i="4" s="1"/>
  <c r="K152" i="4" a="1"/>
  <c r="K152" i="4" s="1"/>
  <c r="K153" i="4" a="1"/>
  <c r="K153" i="4" s="1"/>
  <c r="K154" i="4" a="1"/>
  <c r="K154" i="4" s="1"/>
  <c r="K155" i="4" a="1"/>
  <c r="K155" i="4" s="1"/>
  <c r="K156" i="4" a="1"/>
  <c r="K156" i="4" s="1"/>
  <c r="K157" i="4" a="1"/>
  <c r="K157" i="4" s="1"/>
  <c r="K158" i="4" a="1"/>
  <c r="K158" i="4" s="1"/>
  <c r="K159" i="4" a="1"/>
  <c r="K159" i="4" s="1"/>
  <c r="K160" i="4" a="1"/>
  <c r="K160" i="4" s="1"/>
  <c r="K161" i="4" a="1"/>
  <c r="K161" i="4" s="1"/>
  <c r="K162" i="4" a="1"/>
  <c r="K162" i="4" s="1"/>
  <c r="K163" i="4" a="1"/>
  <c r="K163" i="4" s="1"/>
  <c r="K164" i="4" a="1"/>
  <c r="K164" i="4" s="1"/>
  <c r="K165" i="4" a="1"/>
  <c r="K165" i="4" s="1"/>
  <c r="K166" i="4" a="1"/>
  <c r="K166" i="4" s="1"/>
  <c r="K167" i="4" a="1"/>
  <c r="K167" i="4" s="1"/>
  <c r="K168" i="4" a="1"/>
  <c r="K168" i="4" s="1"/>
  <c r="K169" i="4" a="1"/>
  <c r="K169" i="4" s="1"/>
  <c r="K170" i="4" a="1"/>
  <c r="K170" i="4" s="1"/>
  <c r="K171" i="4" a="1"/>
  <c r="K171" i="4" s="1"/>
  <c r="K172" i="4" a="1"/>
  <c r="K172" i="4" s="1"/>
  <c r="K173" i="4" a="1"/>
  <c r="K173" i="4" s="1"/>
  <c r="K174" i="4" a="1"/>
  <c r="K174" i="4" s="1"/>
  <c r="K175" i="4" a="1"/>
  <c r="K175" i="4" s="1"/>
  <c r="K176" i="4" a="1"/>
  <c r="K176" i="4" s="1"/>
  <c r="K177" i="4" a="1"/>
  <c r="K177" i="4" s="1"/>
  <c r="K178" i="4" a="1"/>
  <c r="K178" i="4" s="1"/>
  <c r="K179" i="4" a="1"/>
  <c r="K179" i="4" s="1"/>
  <c r="K180" i="4" a="1"/>
  <c r="K180" i="4" s="1"/>
  <c r="K181" i="4" a="1"/>
  <c r="K181" i="4" s="1"/>
  <c r="K182" i="4" a="1"/>
  <c r="K182" i="4" s="1"/>
  <c r="K183" i="4" a="1"/>
  <c r="K183" i="4" s="1"/>
  <c r="K184" i="4" a="1"/>
  <c r="K184" i="4" s="1"/>
  <c r="K185" i="4" a="1"/>
  <c r="K185" i="4" s="1"/>
  <c r="K186" i="4" a="1"/>
  <c r="K186" i="4" s="1"/>
  <c r="K187" i="4" a="1"/>
  <c r="K187" i="4" s="1"/>
  <c r="K188" i="4" a="1"/>
  <c r="K188" i="4" s="1"/>
  <c r="K189" i="4" a="1"/>
  <c r="K189" i="4" s="1"/>
  <c r="K190" i="4" a="1"/>
  <c r="K190" i="4" s="1"/>
  <c r="K191" i="4" a="1"/>
  <c r="K191" i="4" s="1"/>
  <c r="K192" i="4" a="1"/>
  <c r="K192" i="4" s="1"/>
  <c r="K193" i="4" a="1"/>
  <c r="K193" i="4" s="1"/>
  <c r="K194" i="4" a="1"/>
  <c r="K194" i="4" s="1"/>
  <c r="K195" i="4" a="1"/>
  <c r="K195" i="4" s="1"/>
  <c r="K196" i="4" a="1"/>
  <c r="K196" i="4" s="1"/>
  <c r="K197" i="4" a="1"/>
  <c r="K197" i="4" s="1"/>
  <c r="K198" i="4" a="1"/>
  <c r="K198" i="4" s="1"/>
  <c r="K199" i="4" a="1"/>
  <c r="K199" i="4" s="1"/>
  <c r="K200" i="4" a="1"/>
  <c r="K200" i="4" s="1"/>
  <c r="K201" i="4" a="1"/>
  <c r="K201" i="4" s="1"/>
  <c r="K202" i="4" a="1"/>
  <c r="K202" i="4" s="1"/>
  <c r="K203" i="4" a="1"/>
  <c r="K203" i="4" s="1"/>
  <c r="K204" i="4" a="1"/>
  <c r="K204" i="4" s="1"/>
  <c r="K205" i="4" a="1"/>
  <c r="K205" i="4" s="1"/>
  <c r="K206" i="4" a="1"/>
  <c r="K206" i="4" s="1"/>
  <c r="Z30" i="2"/>
  <c r="Z31" i="2"/>
  <c r="Z29" i="2"/>
  <c r="Z28" i="2"/>
  <c r="Z27" i="2"/>
  <c r="Z23" i="2"/>
  <c r="Z24" i="2"/>
  <c r="Z22" i="2"/>
  <c r="Z20" i="2"/>
  <c r="Z21" i="2"/>
  <c r="X20" i="2" a="1"/>
  <c r="X20" i="2" s="1"/>
  <c r="M34" i="2" s="1"/>
  <c r="W20" i="2" a="1"/>
  <c r="W20" i="2" s="1"/>
  <c r="L34" i="2" s="1"/>
  <c r="C30" i="2"/>
  <c r="B30" i="2"/>
  <c r="X3" i="2"/>
  <c r="X4" i="2"/>
  <c r="X5" i="2"/>
  <c r="X6" i="2"/>
  <c r="X7" i="2"/>
  <c r="X8" i="2"/>
  <c r="X9" i="2"/>
  <c r="X10" i="2"/>
  <c r="X11" i="2"/>
  <c r="X12" i="2"/>
  <c r="X13" i="2"/>
  <c r="X14" i="2"/>
  <c r="Q3" i="2"/>
  <c r="Q4" i="2"/>
  <c r="Q5" i="2"/>
  <c r="Q6" i="2"/>
  <c r="Q7" i="2"/>
  <c r="Q8" i="2"/>
  <c r="Q9" i="2"/>
  <c r="Q10" i="2"/>
  <c r="Q11" i="2"/>
  <c r="Q12" i="2"/>
  <c r="Q13" i="2"/>
  <c r="Q14" i="2"/>
  <c r="C3" i="2"/>
  <c r="J3" i="2"/>
  <c r="J4" i="2"/>
  <c r="J5" i="2"/>
  <c r="J6" i="2"/>
  <c r="J7" i="2"/>
  <c r="J8" i="2"/>
  <c r="J9" i="2"/>
  <c r="J10" i="2"/>
  <c r="J11" i="2"/>
  <c r="J12" i="2"/>
  <c r="J13" i="2"/>
  <c r="J14" i="2"/>
  <c r="W3" i="2"/>
  <c r="W4" i="2"/>
  <c r="W5" i="2"/>
  <c r="W6" i="2"/>
  <c r="W7" i="2"/>
  <c r="W8" i="2"/>
  <c r="W9" i="2"/>
  <c r="W10" i="2"/>
  <c r="W11" i="2"/>
  <c r="W12" i="2"/>
  <c r="W13" i="2"/>
  <c r="W14" i="2"/>
  <c r="P3" i="2"/>
  <c r="P4" i="2"/>
  <c r="P5" i="2"/>
  <c r="P6" i="2"/>
  <c r="P7" i="2"/>
  <c r="P8" i="2"/>
  <c r="P9" i="2"/>
  <c r="P10" i="2"/>
  <c r="P11" i="2"/>
  <c r="P12" i="2"/>
  <c r="P13" i="2"/>
  <c r="P14" i="2"/>
  <c r="I3" i="2"/>
  <c r="I4" i="2"/>
  <c r="I5" i="2"/>
  <c r="I6" i="2"/>
  <c r="I7" i="2"/>
  <c r="I8" i="2"/>
  <c r="I9" i="2"/>
  <c r="I10" i="2"/>
  <c r="I11" i="2"/>
  <c r="I12" i="2"/>
  <c r="I13" i="2"/>
  <c r="I14" i="2"/>
  <c r="B24" i="2"/>
  <c r="C24" i="2" s="1"/>
  <c r="A27" i="2" s="1"/>
  <c r="C4" i="2"/>
  <c r="C5" i="2"/>
  <c r="C6" i="2"/>
  <c r="C7" i="2"/>
  <c r="C8" i="2"/>
  <c r="C9" i="2"/>
  <c r="C10" i="2"/>
  <c r="C11" i="2"/>
  <c r="C12" i="2"/>
  <c r="C13" i="2"/>
  <c r="C14" i="2"/>
  <c r="B21" i="2"/>
  <c r="B6" i="2" s="1" a="1"/>
  <c r="B6" i="2" s="1"/>
  <c r="K5" i="4" a="1"/>
  <c r="K5" i="4" s="1"/>
  <c r="F24" i="2" s="1"/>
  <c r="K6" i="4" a="1"/>
  <c r="K6" i="4" s="1"/>
  <c r="F26" i="2" s="1"/>
  <c r="K7" i="4" a="1"/>
  <c r="K7" i="4" s="1"/>
  <c r="K8" i="4" a="1"/>
  <c r="K8" i="4" s="1"/>
  <c r="K9" i="4" a="1"/>
  <c r="K9" i="4" s="1"/>
  <c r="K10" i="4" a="1"/>
  <c r="K10" i="4" s="1"/>
  <c r="K11" i="4" a="1"/>
  <c r="K11" i="4" s="1"/>
  <c r="K12" i="4" a="1"/>
  <c r="K12" i="4" s="1"/>
  <c r="K13" i="4" a="1"/>
  <c r="K13" i="4" s="1"/>
  <c r="K14" i="4" a="1"/>
  <c r="K14" i="4" s="1"/>
  <c r="K15" i="4" a="1"/>
  <c r="K15" i="4" s="1"/>
  <c r="K16" i="4" a="1"/>
  <c r="K16" i="4" s="1"/>
  <c r="K17" i="4" a="1"/>
  <c r="K17" i="4" s="1"/>
  <c r="K18" i="4" a="1"/>
  <c r="K18" i="4" s="1"/>
  <c r="K19" i="4" a="1"/>
  <c r="K19" i="4" s="1"/>
  <c r="K20" i="4" a="1"/>
  <c r="K20" i="4" s="1"/>
  <c r="K21" i="4" a="1"/>
  <c r="K21" i="4" s="1"/>
  <c r="K22" i="4" a="1"/>
  <c r="K22" i="4" s="1"/>
  <c r="K23" i="4" a="1"/>
  <c r="K23" i="4" s="1"/>
  <c r="K24" i="4" a="1"/>
  <c r="K24" i="4" s="1"/>
  <c r="K25" i="4" a="1"/>
  <c r="K25" i="4" s="1"/>
  <c r="K26" i="4" a="1"/>
  <c r="K26" i="4" s="1"/>
  <c r="K27" i="4" a="1"/>
  <c r="K27" i="4" s="1"/>
  <c r="K28" i="4" a="1"/>
  <c r="K28" i="4" s="1"/>
  <c r="K29" i="4" a="1"/>
  <c r="K29" i="4" s="1"/>
  <c r="K30" i="4" a="1"/>
  <c r="K30" i="4" s="1"/>
  <c r="K31" i="4" a="1"/>
  <c r="K31" i="4" s="1"/>
  <c r="K32" i="4" a="1"/>
  <c r="K32" i="4" s="1"/>
  <c r="K33" i="4" a="1"/>
  <c r="K33" i="4" s="1"/>
  <c r="K34" i="4" a="1"/>
  <c r="K34" i="4" s="1"/>
  <c r="K35" i="4" a="1"/>
  <c r="K35" i="4" s="1"/>
  <c r="K36" i="4" a="1"/>
  <c r="K36" i="4" s="1"/>
  <c r="K37" i="4" a="1"/>
  <c r="K37" i="4" s="1"/>
  <c r="K38" i="4" a="1"/>
  <c r="K38" i="4" s="1"/>
  <c r="K39" i="4" a="1"/>
  <c r="K39" i="4" s="1"/>
  <c r="K40" i="4" a="1"/>
  <c r="K40" i="4" s="1"/>
  <c r="K41" i="4" a="1"/>
  <c r="K41" i="4" s="1"/>
  <c r="K42" i="4" a="1"/>
  <c r="K42" i="4" s="1"/>
  <c r="K43" i="4" a="1"/>
  <c r="K43" i="4" s="1"/>
  <c r="K44" i="4" a="1"/>
  <c r="K44" i="4" s="1"/>
  <c r="K45" i="4" a="1"/>
  <c r="K45" i="4" s="1"/>
  <c r="K46" i="4" a="1"/>
  <c r="K46" i="4" s="1"/>
  <c r="K47" i="4" a="1"/>
  <c r="K47" i="4" s="1"/>
  <c r="K48" i="4" a="1"/>
  <c r="K48" i="4" s="1"/>
  <c r="K49" i="4" a="1"/>
  <c r="K49" i="4" s="1"/>
  <c r="K50" i="4" a="1"/>
  <c r="K50" i="4" s="1"/>
  <c r="K51" i="4" a="1"/>
  <c r="K51" i="4" s="1"/>
  <c r="K52" i="4" a="1"/>
  <c r="K52" i="4" s="1"/>
  <c r="K53" i="4" a="1"/>
  <c r="K53" i="4" s="1"/>
  <c r="K54" i="4" a="1"/>
  <c r="K54" i="4" s="1"/>
  <c r="K55" i="4" a="1"/>
  <c r="K55" i="4" s="1"/>
  <c r="K56" i="4" a="1"/>
  <c r="K56" i="4" s="1"/>
  <c r="K57" i="4" a="1"/>
  <c r="K57" i="4" s="1"/>
  <c r="K58" i="4" a="1"/>
  <c r="K58" i="4" s="1"/>
  <c r="K59" i="4" a="1"/>
  <c r="K59" i="4" s="1"/>
  <c r="K60" i="4" a="1"/>
  <c r="K60" i="4" s="1"/>
  <c r="K61" i="4" a="1"/>
  <c r="K61" i="4" s="1"/>
  <c r="K62" i="4" a="1"/>
  <c r="K62" i="4" s="1"/>
  <c r="K63" i="4" a="1"/>
  <c r="K63" i="4" s="1"/>
  <c r="K64" i="4" a="1"/>
  <c r="K64" i="4" s="1"/>
  <c r="K65" i="4" a="1"/>
  <c r="K65" i="4" s="1"/>
  <c r="K66" i="4" a="1"/>
  <c r="K66" i="4" s="1"/>
  <c r="K67" i="4" a="1"/>
  <c r="K67" i="4" s="1"/>
  <c r="K68" i="4" a="1"/>
  <c r="K68" i="4" s="1"/>
  <c r="K69" i="4" a="1"/>
  <c r="K69" i="4" s="1"/>
  <c r="K70" i="4" a="1"/>
  <c r="K70" i="4" s="1"/>
  <c r="K71" i="4" a="1"/>
  <c r="K71" i="4" s="1"/>
  <c r="K72" i="4" a="1"/>
  <c r="K72" i="4" s="1"/>
  <c r="K73" i="4" a="1"/>
  <c r="K73" i="4" s="1"/>
  <c r="K74" i="4" a="1"/>
  <c r="K74" i="4" s="1"/>
  <c r="K75" i="4" a="1"/>
  <c r="K75" i="4" s="1"/>
  <c r="K76" i="4" a="1"/>
  <c r="K76" i="4" s="1"/>
  <c r="K77" i="4" a="1"/>
  <c r="K77" i="4" s="1"/>
  <c r="K78" i="4" a="1"/>
  <c r="K78" i="4" s="1"/>
  <c r="K79" i="4" a="1"/>
  <c r="K79" i="4" s="1"/>
  <c r="K80" i="4" a="1"/>
  <c r="K80" i="4" s="1"/>
  <c r="K81" i="4" a="1"/>
  <c r="K81" i="4" s="1"/>
  <c r="K82" i="4" a="1"/>
  <c r="K82" i="4" s="1"/>
  <c r="K83" i="4" a="1"/>
  <c r="K83" i="4" s="1"/>
  <c r="K84" i="4" a="1"/>
  <c r="K84" i="4" s="1"/>
  <c r="K85" i="4" a="1"/>
  <c r="K85" i="4" s="1"/>
  <c r="K86" i="4" a="1"/>
  <c r="K86" i="4" s="1"/>
  <c r="K87" i="4" a="1"/>
  <c r="K87" i="4" s="1"/>
  <c r="K88" i="4" a="1"/>
  <c r="K88" i="4" s="1"/>
  <c r="K89" i="4" a="1"/>
  <c r="K89" i="4" s="1"/>
  <c r="K90" i="4" a="1"/>
  <c r="K90" i="4" s="1"/>
  <c r="K91" i="4" a="1"/>
  <c r="K91" i="4" s="1"/>
  <c r="K92" i="4" a="1"/>
  <c r="K92" i="4" s="1"/>
  <c r="K93" i="4" a="1"/>
  <c r="K93" i="4" s="1"/>
  <c r="K94" i="4" a="1"/>
  <c r="K94" i="4" s="1"/>
  <c r="K95" i="4" a="1"/>
  <c r="K95" i="4" s="1"/>
  <c r="K96" i="4" a="1"/>
  <c r="K96" i="4" s="1"/>
  <c r="K97" i="4" a="1"/>
  <c r="K97" i="4" s="1"/>
  <c r="K98" i="4" a="1"/>
  <c r="K98" i="4" s="1"/>
  <c r="K99" i="4" a="1"/>
  <c r="K99" i="4" s="1"/>
  <c r="K100" i="4" a="1"/>
  <c r="K100" i="4" s="1"/>
  <c r="K101" i="4" a="1"/>
  <c r="K101" i="4" s="1"/>
  <c r="K102" i="4" a="1"/>
  <c r="K102" i="4" s="1"/>
  <c r="K103" i="4" a="1"/>
  <c r="K103" i="4" s="1"/>
  <c r="K104" i="4" a="1"/>
  <c r="K104" i="4" s="1"/>
  <c r="K105" i="4" a="1"/>
  <c r="K105" i="4" s="1"/>
  <c r="K106" i="4" a="1"/>
  <c r="K106" i="4" s="1"/>
  <c r="K107" i="4" a="1"/>
  <c r="K107" i="4" s="1"/>
  <c r="K108" i="4" a="1"/>
  <c r="K108" i="4" s="1"/>
  <c r="K109" i="4" a="1"/>
  <c r="K109" i="4" s="1"/>
  <c r="K110" i="4" a="1"/>
  <c r="K110" i="4" s="1"/>
  <c r="K111" i="4" a="1"/>
  <c r="K111" i="4" s="1"/>
  <c r="K112" i="4" a="1"/>
  <c r="K112" i="4" s="1"/>
  <c r="K113" i="4" a="1"/>
  <c r="K113" i="4" s="1"/>
  <c r="K114" i="4" a="1"/>
  <c r="K114" i="4" s="1"/>
  <c r="K115" i="4" a="1"/>
  <c r="K115" i="4" s="1"/>
  <c r="K116" i="4" a="1"/>
  <c r="K116" i="4" s="1"/>
  <c r="K117" i="4" a="1"/>
  <c r="K117" i="4" s="1"/>
  <c r="K118" i="4" a="1"/>
  <c r="K118" i="4" s="1"/>
  <c r="K119" i="4" a="1"/>
  <c r="K119" i="4" s="1"/>
  <c r="K120" i="4" a="1"/>
  <c r="K120" i="4" s="1"/>
  <c r="K121" i="4" a="1"/>
  <c r="K121" i="4" s="1"/>
  <c r="K122" i="4" a="1"/>
  <c r="K122" i="4" s="1"/>
  <c r="K123" i="4" a="1"/>
  <c r="K123" i="4" s="1"/>
  <c r="K124" i="4" a="1"/>
  <c r="K124" i="4" s="1"/>
  <c r="K125" i="4" a="1"/>
  <c r="K125" i="4" s="1"/>
  <c r="K126" i="4" a="1"/>
  <c r="K126" i="4" s="1"/>
  <c r="K127" i="4" a="1"/>
  <c r="K127" i="4" s="1"/>
  <c r="K128" i="4" a="1"/>
  <c r="K128" i="4" s="1"/>
  <c r="K129" i="4" a="1"/>
  <c r="K129" i="4" s="1"/>
  <c r="K130" i="4" a="1"/>
  <c r="K130" i="4" s="1"/>
  <c r="K4" i="4" a="1"/>
  <c r="K4" i="4" s="1"/>
  <c r="F25" i="2" s="1"/>
  <c r="F4" i="3"/>
  <c r="G4" i="3" s="1"/>
  <c r="F5" i="3"/>
  <c r="G5" i="3" s="1"/>
  <c r="F6" i="3"/>
  <c r="G6" i="3" s="1"/>
  <c r="F7" i="3"/>
  <c r="G7" i="3" s="1"/>
  <c r="F8" i="3"/>
  <c r="G8" i="3" s="1"/>
  <c r="F9" i="3"/>
  <c r="G9" i="3" s="1"/>
  <c r="F10" i="3"/>
  <c r="G10"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F34" i="3"/>
  <c r="G34" i="3" s="1"/>
  <c r="F35" i="3"/>
  <c r="G35" i="3" s="1"/>
  <c r="F36" i="3"/>
  <c r="G36" i="3" s="1"/>
  <c r="F37" i="3"/>
  <c r="G37" i="3" s="1"/>
  <c r="F38" i="3"/>
  <c r="G38" i="3" s="1"/>
  <c r="F39" i="3"/>
  <c r="G39" i="3" s="1"/>
  <c r="F40" i="3"/>
  <c r="G40" i="3" s="1"/>
  <c r="F41" i="3"/>
  <c r="G41" i="3" s="1"/>
  <c r="F42" i="3"/>
  <c r="G42" i="3" s="1"/>
  <c r="F43" i="3"/>
  <c r="G43" i="3" s="1"/>
  <c r="F44" i="3"/>
  <c r="G44" i="3" s="1"/>
  <c r="F45" i="3"/>
  <c r="G45" i="3" s="1"/>
  <c r="F46" i="3"/>
  <c r="G46" i="3" s="1"/>
  <c r="F47" i="3"/>
  <c r="G47" i="3" s="1"/>
  <c r="F48" i="3"/>
  <c r="G48" i="3" s="1"/>
  <c r="F49" i="3"/>
  <c r="G49" i="3" s="1"/>
  <c r="F50" i="3"/>
  <c r="G50" i="3" s="1"/>
  <c r="F51" i="3"/>
  <c r="G51" i="3" s="1"/>
  <c r="F52" i="3"/>
  <c r="G52" i="3" s="1"/>
  <c r="F53" i="3"/>
  <c r="G53" i="3" s="1"/>
  <c r="F54" i="3"/>
  <c r="G54" i="3" s="1"/>
  <c r="F55" i="3"/>
  <c r="G55" i="3" s="1"/>
  <c r="F56" i="3"/>
  <c r="G56" i="3" s="1"/>
  <c r="F57" i="3"/>
  <c r="G57" i="3" s="1"/>
  <c r="F58" i="3"/>
  <c r="G58" i="3" s="1"/>
  <c r="F59" i="3"/>
  <c r="G59" i="3" s="1"/>
  <c r="F60" i="3"/>
  <c r="G60" i="3" s="1"/>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L33" i="2"/>
  <c r="L32" i="2"/>
  <c r="M32" i="2"/>
  <c r="I27" i="2"/>
  <c r="M33" i="2"/>
  <c r="L31" i="2"/>
  <c r="M31" i="2"/>
  <c r="K12" i="2" l="1"/>
  <c r="L12" i="2" s="1"/>
  <c r="K4" i="2"/>
  <c r="L4" i="2" s="1"/>
  <c r="K13" i="2"/>
  <c r="L13" i="2" s="1"/>
  <c r="K5" i="2"/>
  <c r="L5" i="2" s="1"/>
  <c r="R10" i="2"/>
  <c r="S10" i="2" s="1"/>
  <c r="R9" i="2"/>
  <c r="S9" i="2" s="1"/>
  <c r="P15" i="2"/>
  <c r="P17" i="2" s="1"/>
  <c r="K11" i="2"/>
  <c r="L11" i="2" s="1"/>
  <c r="K3" i="2"/>
  <c r="L3" i="2" s="1"/>
  <c r="R8" i="2"/>
  <c r="S8" i="2" s="1"/>
  <c r="Y14" i="2"/>
  <c r="Z14" i="2" s="1"/>
  <c r="Y6" i="2"/>
  <c r="Z6" i="2" s="1"/>
  <c r="Y12" i="2"/>
  <c r="Z12" i="2" s="1"/>
  <c r="R7" i="2"/>
  <c r="S7" i="2" s="1"/>
  <c r="Y11" i="2"/>
  <c r="Z11" i="2" s="1"/>
  <c r="Y4" i="2"/>
  <c r="Z4" i="2" s="1"/>
  <c r="R12" i="2"/>
  <c r="S12" i="2" s="1"/>
  <c r="R4" i="2"/>
  <c r="S4" i="2" s="1"/>
  <c r="R14" i="2"/>
  <c r="S14" i="2" s="1"/>
  <c r="Y10" i="2"/>
  <c r="Z10" i="2" s="1"/>
  <c r="R6" i="2"/>
  <c r="S6" i="2" s="1"/>
  <c r="Y13" i="2"/>
  <c r="Z13" i="2" s="1"/>
  <c r="K6" i="2"/>
  <c r="L6" i="2" s="1"/>
  <c r="K10" i="2"/>
  <c r="L10" i="2" s="1"/>
  <c r="X15" i="2"/>
  <c r="X17" i="2" s="1"/>
  <c r="R13" i="2"/>
  <c r="S13" i="2" s="1"/>
  <c r="R5" i="2"/>
  <c r="S5" i="2" s="1"/>
  <c r="K9" i="2"/>
  <c r="L9" i="2" s="1"/>
  <c r="Y8" i="2"/>
  <c r="Z8" i="2" s="1"/>
  <c r="I15" i="2"/>
  <c r="I17" i="2" s="1"/>
  <c r="K8" i="2"/>
  <c r="L8" i="2" s="1"/>
  <c r="R11" i="2"/>
  <c r="S11" i="2" s="1"/>
  <c r="R3" i="2"/>
  <c r="S3" i="2" s="1"/>
  <c r="K7" i="2"/>
  <c r="L7" i="2" s="1"/>
  <c r="K14" i="2"/>
  <c r="L14" i="2" s="1"/>
  <c r="B13" i="2" a="1"/>
  <c r="B13" i="2" s="1"/>
  <c r="D13" i="2" s="1"/>
  <c r="E13" i="2" s="1"/>
  <c r="B5" i="2" a="1"/>
  <c r="B5" i="2" s="1"/>
  <c r="D5" i="2" s="1"/>
  <c r="E5" i="2" s="1"/>
  <c r="J15" i="2"/>
  <c r="J17" i="2" s="1"/>
  <c r="B12" i="2" a="1"/>
  <c r="B12" i="2" s="1"/>
  <c r="D12" i="2" s="1"/>
  <c r="E12" i="2" s="1"/>
  <c r="Y7" i="2"/>
  <c r="Z7" i="2" s="1"/>
  <c r="Y3" i="2"/>
  <c r="Z3" i="2" s="1"/>
  <c r="B11" i="2" a="1"/>
  <c r="B11" i="2" s="1"/>
  <c r="B27" i="2" s="1" a="1"/>
  <c r="B27" i="2" s="1"/>
  <c r="B4" i="2" a="1"/>
  <c r="B4" i="2" s="1"/>
  <c r="D4" i="2" s="1"/>
  <c r="E4" i="2" s="1"/>
  <c r="Q15" i="2"/>
  <c r="Q17" i="2" s="1"/>
  <c r="B10" i="2" a="1"/>
  <c r="B10" i="2" s="1"/>
  <c r="D10" i="2" s="1"/>
  <c r="E10" i="2" s="1"/>
  <c r="B9" i="2" a="1"/>
  <c r="B9" i="2" s="1"/>
  <c r="D9" i="2" s="1"/>
  <c r="E9" i="2" s="1"/>
  <c r="B8" i="2" a="1"/>
  <c r="B8" i="2" s="1"/>
  <c r="D8" i="2" s="1"/>
  <c r="E8" i="2" s="1"/>
  <c r="B3" i="2" a="1"/>
  <c r="B3" i="2" s="1"/>
  <c r="D3" i="2" s="1"/>
  <c r="E3" i="2" s="1"/>
  <c r="B7" i="2" a="1"/>
  <c r="B7" i="2" s="1"/>
  <c r="D7" i="2" s="1"/>
  <c r="E7" i="2" s="1"/>
  <c r="B14" i="2" a="1"/>
  <c r="B14" i="2" s="1"/>
  <c r="D14" i="2" s="1"/>
  <c r="E14" i="2" s="1"/>
  <c r="Y9" i="2"/>
  <c r="Z9" i="2" s="1"/>
  <c r="C29" i="2"/>
  <c r="C28" i="2"/>
  <c r="B28" i="2"/>
  <c r="B29" i="2"/>
  <c r="A29" i="2"/>
  <c r="A28" i="2"/>
  <c r="W15" i="2"/>
  <c r="W17" i="2" s="1"/>
  <c r="D6" i="2"/>
  <c r="E6" i="2" s="1"/>
  <c r="Y5" i="2"/>
  <c r="Z5" i="2" s="1"/>
  <c r="C15" i="2"/>
  <c r="D17" i="2" s="1"/>
  <c r="D11" i="2" l="1"/>
  <c r="E11" i="2" s="1"/>
  <c r="E15" i="2" s="1"/>
  <c r="Y17" i="2"/>
  <c r="Z17" i="2" s="1"/>
  <c r="R18" i="2"/>
  <c r="R17" i="2"/>
  <c r="S17" i="2" s="1"/>
  <c r="B15" i="2"/>
  <c r="C17" i="2" s="1"/>
  <c r="E17" i="2" s="1"/>
  <c r="K18" i="2"/>
  <c r="K17" i="2"/>
  <c r="L17" i="2" s="1"/>
  <c r="Y18" i="2"/>
  <c r="D15"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<sst xmlns="http://schemas.openxmlformats.org/spreadsheetml/2006/main" count="1754" uniqueCount="347">
  <si>
    <t>SALES ASSOCIATE</t>
  </si>
  <si>
    <t>MONTH</t>
  </si>
  <si>
    <t>ACCOUNT NAME</t>
  </si>
  <si>
    <t>DEAL SIZE</t>
  </si>
  <si>
    <t>STAGE</t>
  </si>
  <si>
    <t>PROBABILITY</t>
  </si>
  <si>
    <t>WEIGHTED FORECAST</t>
  </si>
  <si>
    <t>SALES CHANNEL</t>
  </si>
  <si>
    <t>EXPECTED/CLOSE DATE</t>
  </si>
  <si>
    <t>NOTES</t>
  </si>
  <si>
    <t>Kelly</t>
  </si>
  <si>
    <t>JANUARY</t>
  </si>
  <si>
    <t>ABC Charter Enterprise</t>
  </si>
  <si>
    <t>WON</t>
  </si>
  <si>
    <t>RENEWAL</t>
  </si>
  <si>
    <t>Received Signed Proposal</t>
  </si>
  <si>
    <t>Amish Electrical</t>
  </si>
  <si>
    <t>Received.</t>
  </si>
  <si>
    <t>Fitness USA Partners</t>
  </si>
  <si>
    <t>Cheek Furniture Gallery</t>
  </si>
  <si>
    <t>America Landing Solutions</t>
  </si>
  <si>
    <t>LOST</t>
  </si>
  <si>
    <t>Called and no response</t>
  </si>
  <si>
    <t>JK Automotive</t>
  </si>
  <si>
    <t>Will not be renewing</t>
  </si>
  <si>
    <t>Zone K Tires</t>
  </si>
  <si>
    <t>No Budget</t>
  </si>
  <si>
    <t>Penners Gallery</t>
  </si>
  <si>
    <t>NEW BUSINESS</t>
  </si>
  <si>
    <t>Hammond Pawalk Law Firm</t>
  </si>
  <si>
    <t>Not Renewing</t>
  </si>
  <si>
    <t>CC Wholesale Beverages</t>
  </si>
  <si>
    <t>Prosponing</t>
  </si>
  <si>
    <t>Law Richardson &amp; Andrew</t>
  </si>
  <si>
    <t>Lighthouse Materials LLC</t>
  </si>
  <si>
    <t>RoadHouse Entertainment</t>
  </si>
  <si>
    <t>AD-HOC</t>
  </si>
  <si>
    <t>Wright Communications</t>
  </si>
  <si>
    <t>Wrench Turn</t>
  </si>
  <si>
    <t>Morgan &amp; Morgan Law</t>
  </si>
  <si>
    <t>MB Media</t>
  </si>
  <si>
    <t>Manshire Advertisers</t>
  </si>
  <si>
    <t>New Management. Will not renew.</t>
  </si>
  <si>
    <t>TMJ Pizza Wholesalers</t>
  </si>
  <si>
    <t>Lay Wright Enterprises</t>
  </si>
  <si>
    <t>Cook B LLC</t>
  </si>
  <si>
    <t>109 Solutions LLC</t>
  </si>
  <si>
    <t>Popeye Packaging Inc.</t>
  </si>
  <si>
    <t>DRS Notary</t>
  </si>
  <si>
    <t>TM AUTOMOTIVE</t>
  </si>
  <si>
    <t>Ansley Marketing</t>
  </si>
  <si>
    <t>Taylor Automotive</t>
  </si>
  <si>
    <t>Wheels &amp; Deals Automotive</t>
  </si>
  <si>
    <t>Now Utilities</t>
  </si>
  <si>
    <t>RCN Corporation</t>
  </si>
  <si>
    <t>FEBRUARY</t>
  </si>
  <si>
    <t>Ice Scream Creamers</t>
  </si>
  <si>
    <t>Hill Count Interiors</t>
  </si>
  <si>
    <t>Haile Repair</t>
  </si>
  <si>
    <t>Stopped responding</t>
  </si>
  <si>
    <t>Osmo Today Systems</t>
  </si>
  <si>
    <t>WeCare Repair</t>
  </si>
  <si>
    <t>Davenport Entertainment</t>
  </si>
  <si>
    <t>No budget</t>
  </si>
  <si>
    <t>Rhino Environmental</t>
  </si>
  <si>
    <t>YT Vision</t>
  </si>
  <si>
    <t>Rockport Dentistry</t>
  </si>
  <si>
    <t xml:space="preserve">Nakata </t>
  </si>
  <si>
    <t>Harper J Law &amp; Services</t>
  </si>
  <si>
    <t>Rivera Law Firm</t>
  </si>
  <si>
    <t>ECCVI University</t>
  </si>
  <si>
    <t>Ralston LLC</t>
  </si>
  <si>
    <t>Spice Wholesale</t>
  </si>
  <si>
    <t xml:space="preserve">Miles Industrial </t>
  </si>
  <si>
    <t>H &amp; L Enterprises</t>
  </si>
  <si>
    <t>Farly International</t>
  </si>
  <si>
    <t>Foremore Entertainment</t>
  </si>
  <si>
    <t>Compere Communications</t>
  </si>
  <si>
    <t>Byrd Technologies</t>
  </si>
  <si>
    <t>Rodburger Enterprises</t>
  </si>
  <si>
    <t>MARCH</t>
  </si>
  <si>
    <t>Long Gone Industrial</t>
  </si>
  <si>
    <t>Pro Tools Warehouse</t>
  </si>
  <si>
    <t>BlackBurn Music</t>
  </si>
  <si>
    <t>Stonekey Manufacturing</t>
  </si>
  <si>
    <t>Pint Gallery Express</t>
  </si>
  <si>
    <t>Digital Pancare Media</t>
  </si>
  <si>
    <t>Metropolitan Constructions Services</t>
  </si>
  <si>
    <t>EnTrue Properties</t>
  </si>
  <si>
    <t>Mercy Hook Law</t>
  </si>
  <si>
    <t>M &amp; C Law</t>
  </si>
  <si>
    <t>Prescriptions Made Fresh</t>
  </si>
  <si>
    <t>BBC Warehouse</t>
  </si>
  <si>
    <t>CDM Auto Repair</t>
  </si>
  <si>
    <t>Charter Communications</t>
  </si>
  <si>
    <t>American TeaCast House</t>
  </si>
  <si>
    <t>FireHouse Vision</t>
  </si>
  <si>
    <t>Community Wellness</t>
  </si>
  <si>
    <t xml:space="preserve">Living Central Air </t>
  </si>
  <si>
    <t>APRIL</t>
  </si>
  <si>
    <t>Solar Westshield</t>
  </si>
  <si>
    <t>World Micro Electronics</t>
  </si>
  <si>
    <t>Outy Furnitures</t>
  </si>
  <si>
    <t>Chelsea MegaStore</t>
  </si>
  <si>
    <t>Rock Medellin Modeling</t>
  </si>
  <si>
    <t>Aches &amp; Ramos LLC</t>
  </si>
  <si>
    <t>CakeTops &amp; Top Bakery</t>
  </si>
  <si>
    <t>First Environment</t>
  </si>
  <si>
    <t>River Protection Association</t>
  </si>
  <si>
    <t>EXP Generators</t>
  </si>
  <si>
    <t>Stopped returninig my calls.</t>
  </si>
  <si>
    <t>King Tires LLC</t>
  </si>
  <si>
    <t>Blue Diamond Wellness Center</t>
  </si>
  <si>
    <t>Collision San Antonio</t>
  </si>
  <si>
    <t xml:space="preserve">Distric Eds </t>
  </si>
  <si>
    <t>Yellow Daycare</t>
  </si>
  <si>
    <t>Went with competitor.</t>
  </si>
  <si>
    <t>MAY</t>
  </si>
  <si>
    <t>Cornerstone Enterprises</t>
  </si>
  <si>
    <t xml:space="preserve">RC Law Firm </t>
  </si>
  <si>
    <t>Title Apartments</t>
  </si>
  <si>
    <t>Miracle Ingredients</t>
  </si>
  <si>
    <t>Holland Motorcars</t>
  </si>
  <si>
    <t>Rose Catering</t>
  </si>
  <si>
    <t>Nobile Mechanics</t>
  </si>
  <si>
    <t>Riot Media Services</t>
  </si>
  <si>
    <t>Boots Catering</t>
  </si>
  <si>
    <t>West Shore United</t>
  </si>
  <si>
    <t>Sleep Optum Express</t>
  </si>
  <si>
    <t>Reese Protective Gear</t>
  </si>
  <si>
    <t>All Mighty Services</t>
  </si>
  <si>
    <t>518 Media</t>
  </si>
  <si>
    <t>Love &amp; Décor Services</t>
  </si>
  <si>
    <t>Megan Fitness</t>
  </si>
  <si>
    <t>JUNE</t>
  </si>
  <si>
    <t>Unitime Cabinets</t>
  </si>
  <si>
    <t>J&amp;B Lawn Care</t>
  </si>
  <si>
    <t>Weizmann Storage</t>
  </si>
  <si>
    <t>Rhino Rescue Energy</t>
  </si>
  <si>
    <t>Evermore Clinical</t>
  </si>
  <si>
    <t>Greenview Enterprises</t>
  </si>
  <si>
    <t>PG Law Associates</t>
  </si>
  <si>
    <t>Verdict Enterprises</t>
  </si>
  <si>
    <t>Rick Autoparts</t>
  </si>
  <si>
    <t>DJ Entertainment</t>
  </si>
  <si>
    <t>Garry ADVERTISERS</t>
  </si>
  <si>
    <t>One Water Center</t>
  </si>
  <si>
    <t>My Econo Optical</t>
  </si>
  <si>
    <t>Louis Entertainment</t>
  </si>
  <si>
    <t>Victor Tiles</t>
  </si>
  <si>
    <t>Katai Technologies</t>
  </si>
  <si>
    <t>HB Ruddkin</t>
  </si>
  <si>
    <t>QVT Management</t>
  </si>
  <si>
    <t>Harl &amp; Harl Enterprises</t>
  </si>
  <si>
    <t>Long Tide Services</t>
  </si>
  <si>
    <t>Tower Audio LLC</t>
  </si>
  <si>
    <t>Point of contact left company</t>
  </si>
  <si>
    <t>Chatterjee Enterprises</t>
  </si>
  <si>
    <t>Gillman Fashion</t>
  </si>
  <si>
    <t>YG Outlets</t>
  </si>
  <si>
    <t>American Mobile League</t>
  </si>
  <si>
    <t>Express Engine LLC</t>
  </si>
  <si>
    <t>Steel Imagery</t>
  </si>
  <si>
    <t>JULY</t>
  </si>
  <si>
    <t>Trevor Productions</t>
  </si>
  <si>
    <t>Kooper Colleges</t>
  </si>
  <si>
    <t>PGT Wellness</t>
  </si>
  <si>
    <t>Decision Data LLC</t>
  </si>
  <si>
    <t>TriVerse Wish</t>
  </si>
  <si>
    <t>Telegar Health</t>
  </si>
  <si>
    <t>Speedway Auto</t>
  </si>
  <si>
    <t>Mammoth Pools</t>
  </si>
  <si>
    <t>Audio Care Health</t>
  </si>
  <si>
    <t>Tresh Sock Associates</t>
  </si>
  <si>
    <t>UTV Health Centers</t>
  </si>
  <si>
    <t>Lokdish Ordinance</t>
  </si>
  <si>
    <t>Villa Bourne Colleges</t>
  </si>
  <si>
    <t>McMillan Furniture</t>
  </si>
  <si>
    <t>Kids Garden Pediatric</t>
  </si>
  <si>
    <t>AUGUST</t>
  </si>
  <si>
    <t>Many Star Auto</t>
  </si>
  <si>
    <t>Romeo Warehouse</t>
  </si>
  <si>
    <t>Ventry Transit</t>
  </si>
  <si>
    <t>Prime Wellness</t>
  </si>
  <si>
    <t>Landing Gray LLC</t>
  </si>
  <si>
    <t>The Junior Wholesalers</t>
  </si>
  <si>
    <t>Villareal Pools &amp; More</t>
  </si>
  <si>
    <t>Wellbery Corp.</t>
  </si>
  <si>
    <t>Extra Baldwin LLC</t>
  </si>
  <si>
    <t>Hint Laboratories</t>
  </si>
  <si>
    <t>Home True Inc.</t>
  </si>
  <si>
    <t>Your Eyelabs Plus</t>
  </si>
  <si>
    <t>Fair Grain Farming</t>
  </si>
  <si>
    <t>SEPTEMBER</t>
  </si>
  <si>
    <t>Unnicram LLC</t>
  </si>
  <si>
    <t>Munty Bear Ads</t>
  </si>
  <si>
    <t>TrueVision Optical</t>
  </si>
  <si>
    <t>Epic Range Telecast</t>
  </si>
  <si>
    <t>Raindrop Enterprises</t>
  </si>
  <si>
    <t>Industrial Metal Company</t>
  </si>
  <si>
    <t>OceanView Marketing</t>
  </si>
  <si>
    <t>Magic Orthopedics</t>
  </si>
  <si>
    <t>West Shore Chem Firm</t>
  </si>
  <si>
    <t>InterGadget</t>
  </si>
  <si>
    <t>Ory Dental</t>
  </si>
  <si>
    <t>PROPOSAL</t>
  </si>
  <si>
    <t>Mastermind Challenge</t>
  </si>
  <si>
    <t>QUALIFIED</t>
  </si>
  <si>
    <t>IDENTIFIED</t>
  </si>
  <si>
    <t>Grant Foundation LLC</t>
  </si>
  <si>
    <t>Appointment set</t>
  </si>
  <si>
    <t>Villa Mountain Association</t>
  </si>
  <si>
    <t>Head Interamerican LLC</t>
  </si>
  <si>
    <t>Havent heard back yet</t>
  </si>
  <si>
    <t>Science Laboratory</t>
  </si>
  <si>
    <t>Kyle Enterprise</t>
  </si>
  <si>
    <t>Following up next week</t>
  </si>
  <si>
    <t>Noble Digital Media</t>
  </si>
  <si>
    <t>OCTOBER</t>
  </si>
  <si>
    <t>TNR Medical</t>
  </si>
  <si>
    <t>Media Republic</t>
  </si>
  <si>
    <t>DC Storage</t>
  </si>
  <si>
    <t>Micro Waste Solutions</t>
  </si>
  <si>
    <t>waiting on approvals</t>
  </si>
  <si>
    <t>Great Beat Media</t>
  </si>
  <si>
    <t>Waiting for contact to return from vacation</t>
  </si>
  <si>
    <t>General Commerce Inc.</t>
  </si>
  <si>
    <t>Dark Moon Industrial</t>
  </si>
  <si>
    <t>Proposal sent out. Waiting on corporate approvals.</t>
  </si>
  <si>
    <t>Influence Care Inc.</t>
  </si>
  <si>
    <t>waiting on approvals from legal.</t>
  </si>
  <si>
    <t>Embassy Motors</t>
  </si>
  <si>
    <t>Capital Success</t>
  </si>
  <si>
    <t>Fire Dynamite Capital</t>
  </si>
  <si>
    <t>Wind Magnet Powers</t>
  </si>
  <si>
    <t>Onsight presentation set for 10/1/2023</t>
  </si>
  <si>
    <t xml:space="preserve">Sea Wealth </t>
  </si>
  <si>
    <t>Lunn Communications</t>
  </si>
  <si>
    <t>IntroComp</t>
  </si>
  <si>
    <t>NOVEMBER</t>
  </si>
  <si>
    <t>Menty Broadcasting</t>
  </si>
  <si>
    <t>Networking contact</t>
  </si>
  <si>
    <t>Half Track Media</t>
  </si>
  <si>
    <t>Said to follow up in December</t>
  </si>
  <si>
    <t>Pastric LLC</t>
  </si>
  <si>
    <t>Brick Front Centers</t>
  </si>
  <si>
    <t>DY Industry</t>
  </si>
  <si>
    <t>Chemical Lifestyle</t>
  </si>
  <si>
    <t>Over Twain Healthcare</t>
  </si>
  <si>
    <t>Life Automotive</t>
  </si>
  <si>
    <t>Principal Vets</t>
  </si>
  <si>
    <t>Mark &amp; Mark Law Associates</t>
  </si>
  <si>
    <t>Mine Fort Enterprise</t>
  </si>
  <si>
    <t>Influence Track LLC</t>
  </si>
  <si>
    <t>BB Catering</t>
  </si>
  <si>
    <t>Pitt Evers Education</t>
  </si>
  <si>
    <t>DECEMBER</t>
  </si>
  <si>
    <t>Pep Omni Capital</t>
  </si>
  <si>
    <t>Think Holdings</t>
  </si>
  <si>
    <t>Hand Therapy Centers</t>
  </si>
  <si>
    <t>South Center Education</t>
  </si>
  <si>
    <t>Strong Ridge</t>
  </si>
  <si>
    <t>Referred by Mine Fort Contact</t>
  </si>
  <si>
    <t>Monscoop Media</t>
  </si>
  <si>
    <t>Villa Taxes</t>
  </si>
  <si>
    <t>Ambish Child</t>
  </si>
  <si>
    <t>Mount Freeman LLC</t>
  </si>
  <si>
    <t>Six and Might</t>
  </si>
  <si>
    <t>Renew Merge</t>
  </si>
  <si>
    <t>Called for information</t>
  </si>
  <si>
    <t>Smiles Fairy Dentist</t>
  </si>
  <si>
    <t>Plain Night Advertisers</t>
  </si>
  <si>
    <t>Civil Engineering Company</t>
  </si>
  <si>
    <t>Equal Dynamit Inc.</t>
  </si>
  <si>
    <t>National Media Live</t>
  </si>
  <si>
    <t>Fellow Prime Time</t>
  </si>
  <si>
    <t xml:space="preserve">Convenience Energy </t>
  </si>
  <si>
    <t>Ideal Nutrition Enterprise</t>
  </si>
  <si>
    <t xml:space="preserve">Grand Marketing </t>
  </si>
  <si>
    <t>One Just Products</t>
  </si>
  <si>
    <t>Energy Night Solutions</t>
  </si>
  <si>
    <t>Guhn Enterprise</t>
  </si>
  <si>
    <t>Liquid Dynasty Inc.</t>
  </si>
  <si>
    <t>Gerald Motor &amp; Tires</t>
  </si>
  <si>
    <t>Flat Server</t>
  </si>
  <si>
    <t>long term client. Should receive renewal</t>
  </si>
  <si>
    <t>Pest Scoon LLC</t>
  </si>
  <si>
    <t>meeting set up for November,</t>
  </si>
  <si>
    <t>48 Night Media</t>
  </si>
  <si>
    <t>Optical Land Enterprise</t>
  </si>
  <si>
    <t>Crank Success University</t>
  </si>
  <si>
    <t>Hard Try Motors</t>
  </si>
  <si>
    <t>FIRST NAME</t>
  </si>
  <si>
    <t>LAST NAME</t>
  </si>
  <si>
    <t>Truman</t>
  </si>
  <si>
    <t>COMMISSION %</t>
  </si>
  <si>
    <t>RENEWAL GOALS</t>
  </si>
  <si>
    <t>NEW BUSINESS GOALS</t>
  </si>
  <si>
    <t>AD-HOC GOALS</t>
  </si>
  <si>
    <t>PROFILE SETUP</t>
  </si>
  <si>
    <t>SALES DASHBOARD</t>
  </si>
  <si>
    <t>COMMISSION</t>
  </si>
  <si>
    <t>STATUS</t>
  </si>
  <si>
    <t>REASON</t>
  </si>
  <si>
    <t>SALES</t>
  </si>
  <si>
    <t>QUOTA %</t>
  </si>
  <si>
    <t>REMAINING QUOTA $</t>
  </si>
  <si>
    <t>TARGET</t>
  </si>
  <si>
    <t>TARGET TOTAL</t>
  </si>
  <si>
    <t>TARGET RENEWAL</t>
  </si>
  <si>
    <t>TARGET NEW BUSINESS</t>
  </si>
  <si>
    <t>TARGET AD-HOC</t>
  </si>
  <si>
    <t>Total</t>
  </si>
  <si>
    <t>PIPELINE SALES CHANNEL</t>
  </si>
  <si>
    <t>Row Labels</t>
  </si>
  <si>
    <t>Grand Total</t>
  </si>
  <si>
    <t>CURRENT DATE</t>
  </si>
  <si>
    <t>TOTAL KPI CHART</t>
  </si>
  <si>
    <t>KPI'S</t>
  </si>
  <si>
    <t>PIPELINE BY CHANNEL DONUT CHART</t>
  </si>
  <si>
    <t>Sum of WEIGHTED FORECAST</t>
  </si>
  <si>
    <t>DONUT TOTAL</t>
  </si>
  <si>
    <t>TOTAL PIPELINE</t>
  </si>
  <si>
    <t>$$</t>
  </si>
  <si>
    <t>COUNT</t>
  </si>
  <si>
    <t>PIPELINE FUNNEL</t>
  </si>
  <si>
    <t>Count of WEIGHTED FORECAST2</t>
  </si>
  <si>
    <t>PIPELINE TREND GRAPH</t>
  </si>
  <si>
    <t>SALES TREND GRAPH</t>
  </si>
  <si>
    <t>(blank)</t>
  </si>
  <si>
    <t>Sum of DEAL SIZE</t>
  </si>
  <si>
    <t>FUNNEL WON</t>
  </si>
  <si>
    <t>TOP 5 PROSPECTS</t>
  </si>
  <si>
    <t>TOP 5 CLIENTS</t>
  </si>
  <si>
    <t>DASHBOARD LAST REFRESHED:</t>
  </si>
  <si>
    <t>COMMISSION STATS</t>
  </si>
  <si>
    <t>YTD Commission Paid</t>
  </si>
  <si>
    <t>Commission Pending</t>
  </si>
  <si>
    <t>Credit Hold</t>
  </si>
  <si>
    <t>PAID</t>
  </si>
  <si>
    <t>PENDING</t>
  </si>
  <si>
    <t>CREDIT HOLD</t>
  </si>
  <si>
    <t>Unhide</t>
  </si>
  <si>
    <t>DevKnow Corp.</t>
  </si>
  <si>
    <t>NO BUDGET</t>
  </si>
  <si>
    <t>COMPETITOR</t>
  </si>
  <si>
    <t>Helpers for Empty Fields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</si>
</sst>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409]m/d/yy\ h:mm\ AM/PM;@"/>
  </numFmts>
  <fonts count="6" x14ac:knownFonts="1">
    <font>
      <sz val="11"/>
      <color theme="1"/>
      <name val="Calibri"/>
      <family val="2"/>
      <scheme val="minor"/>
    </font>
    <font>
      <sz val="11"/>
      <color theme="1"/>
      <name val="Calibri"/>
      <family val="2"/>
      <scheme val="minor"/>
    </font>
    <font>
      <sz val="11"/>
      <color theme="0"/>
      <name val="Calibri"/>
      <family val="2"/>
      <scheme val="minor"/>
    </font>
    <font>
      <b/>
      <sz val="11"/>
      <color theme="0"/>
      <name val="Arial"/>
      <family val="2"/>
    </font>
    <font>
      <sz val="34"/>
      <color theme="0"/>
      <name val="Calibri"/>
      <family val="2"/>
      <scheme val="minor"/>
    </font>
    <font>
      <sz val="10"/>
      <color theme="0"/>
      <name val="Calibri"/>
      <family val="2"/>
      <scheme val="minor"/>
    </font>
  </fonts>
  <fills count="6">
    <fill>
      <patternFill patternType="none"/>
    </fill>
    <fill>
      <patternFill patternType="gray125"/>
    </fill>
    <fill>
      <patternFill patternType="solid">
        <fgColor theme="6" tint="-0.499984740745262"/>
        <bgColor indexed="64"/>
      </patternFill>
    </fill>
    <fill>
      <patternFill patternType="solid">
        <fgColor theme="1" tint="4.9989318521683403E-2"/>
        <bgColor indexed="64"/>
      </patternFill>
    </fill>
    <fill>
      <gradientFill degree="90">
        <stop position="0">
          <color theme="1"/>
        </stop>
        <stop position="1">
          <color theme="1" tint="0.25098422193060094"/>
        </stop>
      </gradientFill>
    </fill>
    <fill>
      <patternFill patternType="solid">
        <fgColor rgb="FF00B0F0"/>
        <bgColor indexed="64"/>
      </patternFill>
    </fill>
  </fills>
  <borders count="2">
    <border>
      <left/>
      <right/>
      <top/>
      <bottom/>
      <diagonal/>
    </border>
    <border>
      <left style="medium">
        <color auto="1"/>
      </left>
      <right style="medium">
        <color auto="1"/>
      </right>
      <top style="medium">
        <color auto="1"/>
      </top>
      <bottom style="medium">
        <color auto="1"/>
      </bottom>
      <diagonal/>
    </border>
  </borders>
  <cellStyleXfs count="5">
    <xf numFmtId="0" fontId="0" fillId="0" borderId="0"/>
    <xf numFmtId="9" fontId="1" fillId="0" borderId="0" applyFont="0" applyFill="0" applyBorder="0" applyAlignment="0" applyProtection="0"/>
    <xf numFmtId="0" fontId="3" fillId="2" borderId="1"/>
    <xf numFmtId="0" fontId="2" fillId="4" borderId="0"/>
    <xf numFmtId="0" fontId="1" fillId="5" borderId="0">
      <alignment horizontal="left"/>
    </xf>
  </cellStyleXfs>
  <cellXfs count="29">
    <xf numFmtId="0" fontId="0" fillId="0" borderId="0" xfId="0"/>
    <xf numFmtId="0" fontId="0" fillId="0" borderId="0" xfId="0" applyAlignment="1">
      <alignment wrapText="1"/>
    </xf>
    <xf numFmtId="0" fontId="2" fillId="3" borderId="0" xfId="0" applyFont="1" applyFill="1"/>
    <xf numFmtId="0" fontId="2" fillId="4" borderId="0" xfId="3"/>
    <xf numFmtId="0" fontId="4" fillId="0" borderId="0" xfId="0" applyFont="1"/>
    <xf numFmtId="14" fontId="0" fillId="0" borderId="0" xfId="0" applyNumberFormat="1"/>
    <xf numFmtId="164" fontId="0" fillId="0" borderId="0" xfId="0" applyNumberFormat="1"/>
    <xf numFmtId="9" fontId="0" fillId="0" borderId="0" xfId="1" applyFont="1"/>
    <xf numFmtId="0" fontId="1" fillId="5" borderId="0" xfId="4">
      <alignment horizontal="left"/>
    </xf>
    <xf numFmtId="0" fontId="2" fillId="4" borderId="0" xfId="3" applyAlignment="1">
      <alignment wrapText="1"/>
    </xf>
    <xf numFmtId="9" fontId="2" fillId="4" borderId="0" xfId="1" applyFont="1" applyFill="1"/>
    <xf numFmtId="164" fontId="2" fillId="4" borderId="0" xfId="3" applyNumberFormat="1"/>
    <xf numFmtId="14" fontId="2" fillId="4" borderId="0" xfId="3" applyNumberFormat="1"/>
    <xf numFmtId="9" fontId="0" fillId="0" borderId="0" xfId="0" applyNumberFormat="1"/>
    <xf numFmtId="10" fontId="0" fillId="0" borderId="0" xfId="0" applyNumberFormat="1"/>
    <xf numFmtId="10" fontId="2" fillId="4" borderId="0" xfId="3" applyNumberFormat="1"/>
    <xf numFmtId="0" fontId="0" fillId="0" borderId="0" xfId="0" pivotButton="1"/>
    <xf numFmtId="0" fontId="0" fillId="0" borderId="0" xfId="0" applyAlignment="1">
      <alignment horizontal="left"/>
    </xf>
    <xf numFmtId="0" fontId="2" fillId="0" borderId="0" xfId="0" applyFont="1"/>
    <xf numFmtId="164" fontId="2" fillId="0" borderId="0" xfId="0" applyNumberFormat="1" applyFont="1"/>
    <xf numFmtId="10" fontId="2" fillId="0" borderId="0" xfId="0" applyNumberFormat="1" applyFont="1"/>
    <xf numFmtId="164" fontId="1" fillId="0" borderId="0" xfId="4" applyNumberFormat="1" applyFill="1">
      <alignment horizontal="left"/>
    </xf>
    <xf numFmtId="0" fontId="5" fillId="0" borderId="0" xfId="0" applyFont="1"/>
    <xf numFmtId="0" fontId="1" fillId="0" borderId="0" xfId="4" applyFill="1">
      <alignment horizontal="left"/>
    </xf>
    <xf numFmtId="165" fontId="2" fillId="0" borderId="0" xfId="0" applyNumberFormat="1" applyFont="1"/>
    <xf numFmtId="165" fontId="0" fillId="0" borderId="0" xfId="0" applyNumberFormat="1"/>
    <xf numFmtId="10" fontId="0" fillId="0" borderId="0" xfId="1" applyNumberFormat="1" applyFont="1"/>
    <xf numFmtId="0" fontId="1" fillId="5" borderId="0" xfId="4">
      <alignment horizontal="left"/>
    </xf>
    <xf numFmtId="0" fontId="1" fillId="5" borderId="0" xfId="4" applyAlignment="1">
      <alignment horizontal="center"/>
    </xf>
  </cellXfs>
  <cellStyles count="5">
    <cellStyle name="A" xfId="3" xr:uid="{62036E5A-12E4-417B-977A-FF04C33CB076}"/>
    <cellStyle name="B" xfId="4" xr:uid="{6626E698-D568-44EC-BA54-406A39C7C779}"/>
    <cellStyle name="Field Names" xfId="2" xr:uid="{9F7E42C7-FFA2-4A86-BB91-50AB2A8A2DDC}"/>
    <cellStyle name="Normal" xfId="0" builtinId="0"/>
    <cellStyle name="Percent" xfId="1" builtinId="5"/>
  </cellStyles>
  <dxfs count="66">
    <dxf>
      <alignment horizontal="general" vertical="bottom" textRotation="0" wrapText="1" indent="0" justifyLastLine="0" shrinkToFit="0" readingOrder="0"/>
    </dxf>
    <dxf>
      <numFmt numFmtId="19" formatCode="m/d/yyyy"/>
    </dxf>
    <dxf>
      <numFmt numFmtId="164" formatCode="&quot;$&quot;#,##0"/>
    </dxf>
    <dxf>
      <numFmt numFmtId="14" formatCode="0.00%"/>
    </dxf>
    <dxf>
      <numFmt numFmtId="164" formatCode="&quot;$&quot;#,##0"/>
    </dxf>
    <dxf>
      <fill>
        <patternFill>
          <bgColor rgb="FFC00000"/>
        </patternFill>
      </fill>
    </dxf>
    <dxf>
      <numFmt numFmtId="164" formatCode="&quot;$&quot;#,##0"/>
    </dxf>
    <dxf>
      <alignment horizontal="general" vertical="bottom" textRotation="0" wrapText="1" indent="0" justifyLastLine="0" shrinkToFit="0" readingOrder="0"/>
    </dxf>
    <dxf>
      <numFmt numFmtId="19" formatCode="m/d/yyyy"/>
    </dxf>
    <dxf>
      <numFmt numFmtId="164" formatCode="&quot;$&quot;#,##0"/>
    </dxf>
    <dxf>
      <font>
        <b val="0"/>
        <i val="0"/>
        <strike val="0"/>
        <condense val="0"/>
        <extend val="0"/>
        <outline val="0"/>
        <shadow val="0"/>
        <u val="none"/>
        <vertAlign val="baseline"/>
        <sz val="11"/>
        <color theme="1"/>
        <name val="Calibri"/>
        <family val="2"/>
        <scheme val="minor"/>
      </font>
    </dxf>
    <dxf>
      <numFmt numFmtId="164" formatCode="&quot;$&quot;#,##0"/>
    </dxf>
    <dxf>
      <fill>
        <patternFill>
          <bgColor rgb="FFC00000"/>
        </patternFill>
      </fill>
    </dxf>
    <dxf>
      <alignment horizontal="general" vertical="bottom" textRotation="0" wrapText="1" indent="0" justifyLastLine="0" shrinkToFit="0" readingOrder="0"/>
    </dxf>
    <dxf>
      <numFmt numFmtId="19" formatCode="m/d/yyyy"/>
    </dxf>
    <dxf>
      <numFmt numFmtId="164" formatCode="&quot;$&quot;#,##0"/>
    </dxf>
    <dxf>
      <font>
        <b val="0"/>
        <i val="0"/>
        <strike val="0"/>
        <condense val="0"/>
        <extend val="0"/>
        <outline val="0"/>
        <shadow val="0"/>
        <u val="none"/>
        <vertAlign val="baseline"/>
        <sz val="11"/>
        <color theme="1"/>
        <name val="Calibri"/>
        <family val="2"/>
        <scheme val="minor"/>
      </font>
    </dxf>
    <dxf>
      <numFmt numFmtId="164" formatCode="&quot;$&quot;#,##0"/>
    </dxf>
    <dxf>
      <fill>
        <patternFill>
          <bgColor rgb="FFC00000"/>
        </patternFill>
      </fill>
    </dxf>
    <dxf>
      <fill>
        <patternFill>
          <bgColor rgb="FFC00000"/>
        </patternFill>
      </fill>
    </dxf>
    <dxf>
      <fill>
        <patternFill>
          <bgColor rgb="FFC00000"/>
        </patternFill>
      </fill>
    </dxf>
    <dxf>
      <fill>
        <patternFill>
          <bgColor rgb="FFC00000"/>
        </patternFill>
      </fill>
    </dxf>
    <dxf>
      <numFmt numFmtId="13" formatCode="0%"/>
    </dxf>
    <dxf>
      <numFmt numFmtId="13" formatCode="0%"/>
    </dxf>
    <dxf>
      <numFmt numFmtId="13" formatCode="0%"/>
    </dxf>
    <dxf>
      <numFmt numFmtId="164" formatCode="&quot;$&quot;#,##0"/>
    </dxf>
    <dxf>
      <numFmt numFmtId="164" formatCode="&quot;$&quot;#,##0"/>
    </dxf>
    <dxf>
      <numFmt numFmtId="13" formatCode="0%"/>
    </dxf>
    <dxf>
      <numFmt numFmtId="13" formatCode="0%"/>
    </dxf>
    <dxf>
      <numFmt numFmtId="13" formatCode="0%"/>
    </dxf>
    <dxf>
      <numFmt numFmtId="164" formatCode="&quot;$&quot;#,##0"/>
    </dxf>
    <dxf>
      <numFmt numFmtId="164" formatCode="&quot;$&quot;#,##0"/>
    </dxf>
    <dxf>
      <numFmt numFmtId="13" formatCode="0%"/>
    </dxf>
    <dxf>
      <numFmt numFmtId="13" formatCode="0%"/>
    </dxf>
    <dxf>
      <numFmt numFmtId="164" formatCode="&quot;$&quot;#,##0"/>
    </dxf>
    <dxf>
      <numFmt numFmtId="164" formatCode="&quot;$&quot;#,##0"/>
    </dxf>
    <dxf>
      <font>
        <b val="0"/>
        <i val="0"/>
        <strike val="0"/>
        <condense val="0"/>
        <extend val="0"/>
        <outline val="0"/>
        <shadow val="0"/>
        <u val="none"/>
        <vertAlign val="baseline"/>
        <sz val="11"/>
        <color theme="0"/>
        <name val="Calibri"/>
        <family val="2"/>
        <scheme val="minor"/>
      </font>
      <numFmt numFmtId="14" formatCode="0.00%"/>
    </dxf>
    <dxf>
      <numFmt numFmtId="14" formatCode="0.00%"/>
    </dxf>
    <dxf>
      <font>
        <b val="0"/>
        <i val="0"/>
        <strike val="0"/>
        <condense val="0"/>
        <extend val="0"/>
        <outline val="0"/>
        <shadow val="0"/>
        <u val="none"/>
        <vertAlign val="baseline"/>
        <sz val="11"/>
        <color theme="0"/>
        <name val="Calibri"/>
        <family val="2"/>
        <scheme val="minor"/>
      </font>
    </dxf>
    <dxf>
      <numFmt numFmtId="14" formatCode="0.00%"/>
    </dxf>
    <dxf>
      <font>
        <b val="0"/>
        <i val="0"/>
        <strike val="0"/>
        <condense val="0"/>
        <extend val="0"/>
        <outline val="0"/>
        <shadow val="0"/>
        <u val="none"/>
        <vertAlign val="baseline"/>
        <sz val="11"/>
        <color theme="0"/>
        <name val="Calibri"/>
        <family val="2"/>
        <scheme val="minor"/>
      </font>
      <numFmt numFmtId="164" formatCode="&quot;$&quot;#,##0"/>
    </dxf>
    <dxf>
      <numFmt numFmtId="164" formatCode="&quot;$&quot;#,##0"/>
    </dxf>
    <dxf>
      <font>
        <b val="0"/>
        <i val="0"/>
        <strike val="0"/>
        <condense val="0"/>
        <extend val="0"/>
        <outline val="0"/>
        <shadow val="0"/>
        <u val="none"/>
        <vertAlign val="baseline"/>
        <sz val="11"/>
        <color theme="0"/>
        <name val="Calibri"/>
        <family val="2"/>
        <scheme val="minor"/>
      </font>
      <numFmt numFmtId="164" formatCode="&quot;$&quot;#,##0"/>
    </dxf>
    <dxf>
      <numFmt numFmtId="164" formatCode="&quot;$&quot;#,##0"/>
    </dxf>
    <dxf>
      <font>
        <b val="0"/>
        <i val="0"/>
        <strike val="0"/>
        <condense val="0"/>
        <extend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fill>
        <patternFill>
          <bgColor theme="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2"/>
        </patternFill>
      </fill>
      <border>
        <left style="thin">
          <color auto="1"/>
        </left>
        <right style="thin">
          <color auto="1"/>
        </right>
        <top style="thin">
          <color auto="1"/>
        </top>
        <bottom style="thin">
          <color auto="1"/>
        </bottom>
        <vertical/>
        <horizontal/>
      </border>
    </dxf>
    <dxf>
      <fill>
        <patternFill>
          <bgColor theme="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2"/>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b/>
        <i val="0"/>
        <sz val="14"/>
        <color theme="0"/>
      </font>
      <fill>
        <patternFill>
          <bgColor theme="1"/>
        </patternFill>
      </fill>
      <border diagonalUp="0" diagonalDown="0">
        <left/>
        <right/>
        <top/>
        <bottom/>
        <vertical/>
        <horizontal/>
      </border>
    </dxf>
    <dxf>
      <font>
        <color theme="1"/>
      </font>
      <fill>
        <patternFill>
          <bgColor theme="3"/>
        </patternFill>
      </fill>
      <border diagonalUp="0" diagonalDown="0">
        <left/>
        <right/>
        <top/>
        <bottom/>
        <vertical/>
        <horizontal/>
      </border>
    </dxf>
  </dxfs>
  <tableStyles count="1" defaultTableStyle="TableStyleMedium8" defaultPivotStyle="PivotStyleLight16">
    <tableStyle name="A" pivot="0" table="0" count="10" xr9:uid="{93E40ABA-E4BB-4DAA-ABF8-0F923578933F}">
      <tableStyleElement type="wholeTable" dxfId="65"/>
      <tableStyleElement type="headerRow" dxfId="64"/>
    </tableStyle>
  </tableStyles>
  <colors>
    <mruColors>
      <color rgb="FF71A0FF"/>
      <color rgb="FF000099"/>
      <color rgb="FF9BE5FF"/>
    </mruColors>
  </colors>
  <extLst>
    <ext xmlns:x14="http://schemas.microsoft.com/office/spreadsheetml/2009/9/main" uri="{46F421CA-312F-682f-3DD2-61675219B42D}">
      <x14:dxfs count="8">
        <dxf>
          <font>
            <color theme="3"/>
          </font>
          <fill>
            <patternFill patternType="solid">
              <fgColor auto="1"/>
              <bgColor theme="3"/>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00B0F0"/>
            </patternFill>
          </fill>
          <border diagonalUp="0" diagonalDown="0">
            <left/>
            <right/>
            <top/>
            <bottom/>
            <vertical/>
            <horizontal/>
          </border>
        </dxf>
        <dxf>
          <font>
            <color theme="3"/>
          </font>
          <fill>
            <patternFill patternType="solid">
              <fgColor auto="1"/>
              <bgColor theme="6" tint="0.59996337778862885"/>
            </patternFill>
          </fill>
          <border diagonalUp="0" diagonalDown="0">
            <left style="thin">
              <color theme="3"/>
            </left>
            <right style="thin">
              <color theme="3"/>
            </right>
            <top style="thin">
              <color theme="3"/>
            </top>
            <bottom style="thin">
              <color theme="3"/>
            </bottom>
            <vertical/>
            <horizontal/>
          </border>
        </dxf>
        <dxf>
          <font>
            <color theme="3"/>
          </font>
          <fill>
            <patternFill patternType="solid">
              <fgColor theme="5" tint="0.79995117038483843"/>
              <bgColor theme="3"/>
            </patternFill>
          </fill>
          <border diagonalUp="0" diagonalDown="0">
            <left/>
            <right/>
            <top/>
            <bottom/>
            <vertical/>
            <horizontal/>
          </border>
        </dxf>
        <dxf>
          <font>
            <b/>
            <i val="0"/>
            <sz val="11"/>
            <color theme="0"/>
          </font>
          <fill>
            <patternFill patternType="solid">
              <fgColor theme="5" tint="0.59999389629810485"/>
              <bgColor rgb="FF00B0F0"/>
            </patternFill>
          </fill>
          <border diagonalUp="0" diagonalDown="0">
            <left/>
            <right/>
            <top/>
            <bottom/>
            <vertical/>
            <horizontal/>
          </border>
        </dxf>
        <dxf>
          <font>
            <color theme="3"/>
          </font>
          <fill>
            <patternFill patternType="solid">
              <fgColor rgb="FFFFFFFF"/>
              <bgColor theme="3"/>
            </patternFill>
          </fill>
          <border diagonalUp="0" diagonalDown="0">
            <left/>
            <right/>
            <top/>
            <bottom/>
            <vertical/>
            <horizontal/>
          </border>
        </dxf>
        <dxf>
          <font>
            <color rgb="FF000000"/>
          </font>
          <fill>
            <patternFill patternType="solid">
              <fgColor rgb="FFFFFFFF"/>
              <bgColor theme="6" tint="0.59996337778862885"/>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A">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2.xml"/><Relationship Id="rId12" Type="http://schemas.microsoft.com/office/2007/relationships/slicerCache" Target="slicerCaches/slicerCache5.xml"/><Relationship Id="rId17" Type="http://schemas.microsoft.com/office/2007/relationships/slicerCache" Target="slicerCaches/slicerCache10.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9.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8.xml"/><Relationship Id="rId23" Type="http://schemas.openxmlformats.org/officeDocument/2006/relationships/sheetMetadata" Target="metadata.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6428571428571416E-2"/>
          <c:y val="8.4309383202099755E-2"/>
          <c:w val="0.95357142857142863"/>
          <c:h val="0.72198502126889308"/>
        </c:manualLayout>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38100" dir="5400000" algn="ctr" rotWithShape="0">
                <a:srgbClr val="000000">
                  <a:alpha val="63000"/>
                </a:srgbClr>
              </a:outerShdw>
            </a:effectLst>
          </c:spPr>
          <c:invertIfNegative val="0"/>
          <c:dPt>
            <c:idx val="0"/>
            <c:invertIfNegative val="0"/>
            <c:bubble3D val="0"/>
            <c:spPr>
              <a:solidFill>
                <a:srgbClr val="000099"/>
              </a:solidFill>
              <a:ln>
                <a:noFill/>
              </a:ln>
              <a:effectLst>
                <a:outerShdw blurRad="57150" dist="38100" dir="5400000" algn="ctr" rotWithShape="0">
                  <a:srgbClr val="000000">
                    <a:alpha val="63000"/>
                  </a:srgbClr>
                </a:outerShdw>
              </a:effectLst>
            </c:spPr>
            <c:extLst>
              <c:ext xmlns:c16="http://schemas.microsoft.com/office/drawing/2014/chart" uri="{C3380CC4-5D6E-409C-BE32-E72D297353CC}">
                <c16:uniqueId val="{00000001-9F97-4594-A965-A2CAB99A1CE0}"/>
              </c:ext>
            </c:extLst>
          </c:dPt>
          <c:dPt>
            <c:idx val="1"/>
            <c:invertIfNegative val="0"/>
            <c:bubble3D val="0"/>
            <c:spPr>
              <a:solidFill>
                <a:srgbClr val="00B050"/>
              </a:solidFill>
              <a:ln>
                <a:noFill/>
              </a:ln>
              <a:effectLst>
                <a:outerShdw blurRad="57150" dist="38100" dir="5400000" algn="ctr" rotWithShape="0">
                  <a:srgbClr val="000000">
                    <a:alpha val="63000"/>
                  </a:srgbClr>
                </a:outerShdw>
              </a:effectLst>
            </c:spPr>
            <c:extLst>
              <c:ext xmlns:c16="http://schemas.microsoft.com/office/drawing/2014/chart" uri="{C3380CC4-5D6E-409C-BE32-E72D297353CC}">
                <c16:uniqueId val="{00000002-9F97-4594-A965-A2CAB99A1CE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val>
            <c:numRef>
              <c:f>Analysis!$C$17:$D$17</c:f>
              <c:numCache>
                <c:formatCode>"$"#,##0</c:formatCode>
                <c:ptCount val="2"/>
                <c:pt idx="0">
                  <c:v>960000</c:v>
                </c:pt>
                <c:pt idx="1">
                  <c:v>2953077.85</c:v>
                </c:pt>
              </c:numCache>
            </c:numRef>
          </c:val>
          <c:extLst>
            <c:ext xmlns:c16="http://schemas.microsoft.com/office/drawing/2014/chart" uri="{C3380CC4-5D6E-409C-BE32-E72D297353CC}">
              <c16:uniqueId val="{00000000-9F97-4594-A965-A2CAB99A1CE0}"/>
            </c:ext>
          </c:extLst>
        </c:ser>
        <c:dLbls>
          <c:showLegendKey val="0"/>
          <c:showVal val="0"/>
          <c:showCatName val="0"/>
          <c:showSerName val="0"/>
          <c:showPercent val="0"/>
          <c:showBubbleSize val="0"/>
        </c:dLbls>
        <c:gapWidth val="85"/>
        <c:overlap val="-32"/>
        <c:axId val="1641486079"/>
        <c:axId val="522128271"/>
      </c:barChart>
      <c:catAx>
        <c:axId val="1641486079"/>
        <c:scaling>
          <c:orientation val="minMax"/>
        </c:scaling>
        <c:delete val="1"/>
        <c:axPos val="l"/>
        <c:majorTickMark val="none"/>
        <c:minorTickMark val="none"/>
        <c:tickLblPos val="nextTo"/>
        <c:crossAx val="522128271"/>
        <c:crosses val="autoZero"/>
        <c:auto val="1"/>
        <c:lblAlgn val="ctr"/>
        <c:lblOffset val="100"/>
        <c:noMultiLvlLbl val="0"/>
      </c:catAx>
      <c:valAx>
        <c:axId val="522128271"/>
        <c:scaling>
          <c:orientation val="minMax"/>
        </c:scaling>
        <c:delete val="1"/>
        <c:axPos val="b"/>
        <c:numFmt formatCode="&quot;$&quot;#,##0" sourceLinked="1"/>
        <c:majorTickMark val="none"/>
        <c:minorTickMark val="none"/>
        <c:tickLblPos val="nextTo"/>
        <c:crossAx val="1641486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[SA_SALES_PIPELINE.xlsm]Analysis!PivotTable2</c:name>
    <c:fmtId val="4"/>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6"/>
        <c:spPr>
          <a:solidFill>
            <a:srgbClr val="00B0F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324346405228759"/>
                  <c:h val="0.20378106671851204"/>
                </c:manualLayout>
              </c15:layout>
            </c:ext>
          </c:extLst>
        </c:dLbl>
      </c:pivotFmt>
      <c:pivotFmt>
        <c:idx val="7"/>
        <c:spPr>
          <a:solidFill>
            <a:srgbClr val="000099"/>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1507352941176472"/>
                  <c:h val="0.26656378600823044"/>
                </c:manualLayout>
              </c15:layout>
            </c:ext>
          </c:extLst>
        </c:dLbl>
      </c:pivotFmt>
      <c:pivotFmt>
        <c:idx val="8"/>
        <c:spPr>
          <a:solidFill>
            <a:schemeClr val="tx2">
              <a:lumMod val="40000"/>
              <a:lumOff val="6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layout>
                <c:manualLayout>
                  <c:w val="0.22602124183006536"/>
                  <c:h val="0.14099794238683128"/>
                </c:manualLayout>
              </c15:layout>
            </c:ext>
          </c:extLst>
        </c:dLbl>
      </c:pivotFmt>
    </c:pivotFmts>
    <c:plotArea>
      <c:layout>
        <c:manualLayout>
          <c:layoutTarget val="inner"/>
          <c:xMode val="edge"/>
          <c:yMode val="edge"/>
          <c:x val="0.15919811320754718"/>
          <c:y val="7.9129574678536096E-2"/>
          <c:w val="0.71698113207547165"/>
          <c:h val="0.90207715133531152"/>
        </c:manualLayout>
      </c:layout>
      <c:doughnutChart>
        <c:varyColors val="1"/>
        <c:ser>
          <c:idx val="0"/>
          <c:order val="0"/>
          <c:tx>
            <c:strRef>
              <c:f>Analysis!$I$21</c:f>
              <c:strCache>
                <c:ptCount val="1"/>
                <c:pt idx="0">
                  <c:v>Total</c:v>
                </c:pt>
              </c:strCache>
            </c:strRef>
          </c:tx>
          <c:dPt>
            <c:idx val="0"/>
            <c:bubble3D val="0"/>
            <c:spPr>
              <a:solidFill>
                <a:srgbClr val="00B0F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4EF-4982-B190-61D81AE4B81E}"/>
              </c:ext>
            </c:extLst>
          </c:dPt>
          <c:dPt>
            <c:idx val="1"/>
            <c:bubble3D val="0"/>
            <c:spPr>
              <a:solidFill>
                <a:srgbClr val="000099"/>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4EF-4982-B190-61D81AE4B81E}"/>
              </c:ext>
            </c:extLst>
          </c:dPt>
          <c:dPt>
            <c:idx val="2"/>
            <c:bubble3D val="0"/>
            <c:spPr>
              <a:solidFill>
                <a:schemeClr val="tx2">
                  <a:lumMod val="40000"/>
                  <a:lumOff val="6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4EF-4982-B190-61D81AE4B81E}"/>
              </c:ext>
            </c:extLst>
          </c:dPt>
          <c:dLbls>
            <c:dLbl>
              <c:idx val="0"/>
              <c:showLegendKey val="0"/>
              <c:showVal val="1"/>
              <c:showCatName val="1"/>
              <c:showSerName val="0"/>
              <c:showPercent val="0"/>
              <c:showBubbleSize val="0"/>
              <c:separator>
</c:separator>
              <c:extLst>
                <c:ext xmlns:c15="http://schemas.microsoft.com/office/drawing/2012/chart" uri="{CE6537A1-D6FC-4f65-9D91-7224C49458BB}">
                  <c15:layout>
                    <c:manualLayout>
                      <c:w val="0.22324346405228759"/>
                      <c:h val="0.20378106671851204"/>
                    </c:manualLayout>
                  </c15:layout>
                </c:ext>
                <c:ext xmlns:c16="http://schemas.microsoft.com/office/drawing/2014/chart" uri="{C3380CC4-5D6E-409C-BE32-E72D297353CC}">
                  <c16:uniqueId val="{00000001-24EF-4982-B190-61D81AE4B81E}"/>
                </c:ext>
              </c:extLst>
            </c:dLbl>
            <c:dLbl>
              <c:idx val="1"/>
              <c:showLegendKey val="0"/>
              <c:showVal val="1"/>
              <c:showCatName val="1"/>
              <c:showSerName val="0"/>
              <c:showPercent val="0"/>
              <c:showBubbleSize val="0"/>
              <c:separator>
</c:separator>
              <c:extLst>
                <c:ext xmlns:c15="http://schemas.microsoft.com/office/drawing/2012/chart" uri="{CE6537A1-D6FC-4f65-9D91-7224C49458BB}">
                  <c15:layout>
                    <c:manualLayout>
                      <c:w val="0.21507352941176472"/>
                      <c:h val="0.26656378600823044"/>
                    </c:manualLayout>
                  </c15:layout>
                </c:ext>
                <c:ext xmlns:c16="http://schemas.microsoft.com/office/drawing/2014/chart" uri="{C3380CC4-5D6E-409C-BE32-E72D297353CC}">
                  <c16:uniqueId val="{00000003-24EF-4982-B190-61D81AE4B81E}"/>
                </c:ext>
              </c:extLst>
            </c:dLbl>
            <c:dLbl>
              <c:idx val="2"/>
              <c:showLegendKey val="0"/>
              <c:showVal val="1"/>
              <c:showCatName val="1"/>
              <c:showSerName val="0"/>
              <c:showPercent val="0"/>
              <c:showBubbleSize val="0"/>
              <c:separator>
</c:separator>
              <c:extLst>
                <c:ext xmlns:c15="http://schemas.microsoft.com/office/drawing/2012/chart" uri="{CE6537A1-D6FC-4f65-9D91-7224C49458BB}">
                  <c15:layout>
                    <c:manualLayout>
                      <c:w val="0.22602124183006536"/>
                      <c:h val="0.14099794238683128"/>
                    </c:manualLayout>
                  </c15:layout>
                </c:ext>
                <c:ext xmlns:c16="http://schemas.microsoft.com/office/drawing/2014/chart" uri="{C3380CC4-5D6E-409C-BE32-E72D297353CC}">
                  <c16:uniqueId val="{00000005-24EF-4982-B190-61D81AE4B81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eparator>
</c:separator>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Analysis!$H$22:$H$25</c:f>
              <c:strCache>
                <c:ptCount val="3"/>
                <c:pt idx="0">
                  <c:v>AD-HOC</c:v>
                </c:pt>
                <c:pt idx="1">
                  <c:v>NEW BUSINESS</c:v>
                </c:pt>
                <c:pt idx="2">
                  <c:v>RENEWAL</c:v>
                </c:pt>
              </c:strCache>
            </c:strRef>
          </c:cat>
          <c:val>
            <c:numRef>
              <c:f>Analysis!$I$22:$I$25</c:f>
              <c:numCache>
                <c:formatCode>"$"#,##0</c:formatCode>
                <c:ptCount val="3"/>
                <c:pt idx="0">
                  <c:v>37672.224999999999</c:v>
                </c:pt>
                <c:pt idx="1">
                  <c:v>74189.805250000005</c:v>
                </c:pt>
                <c:pt idx="2">
                  <c:v>104915.51650000001</c:v>
                </c:pt>
              </c:numCache>
            </c:numRef>
          </c:val>
          <c:extLst>
            <c:ext xmlns:c16="http://schemas.microsoft.com/office/drawing/2014/chart" uri="{C3380CC4-5D6E-409C-BE32-E72D297353CC}">
              <c16:uniqueId val="{00000006-24EF-4982-B190-61D81AE4B81E}"/>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[SA_SALES_PIPELINE.xlsm]Analysis!PivotTable4</c:name>
    <c:fmtId val="2"/>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cmpd="sng">
            <a:solidFill>
              <a:srgbClr val="00B0F0"/>
            </a:solidFill>
            <a:round/>
          </a:ln>
          <a:effectLst>
            <a:outerShdw dist="12700" dir="2700000" algn="tl" rotWithShape="0">
              <a:schemeClr val="bg1">
                <a:alpha val="71000"/>
              </a:schemeClr>
            </a:outerShdw>
          </a:effectLst>
        </c:spPr>
        <c:marker>
          <c:symbol val="circle"/>
          <c:size val="5"/>
          <c:spPr>
            <a:noFill/>
            <a:ln w="19050" cap="rnd">
              <a:solidFill>
                <a:schemeClr val="lt1"/>
              </a:solidFill>
              <a:bevel/>
            </a:ln>
            <a:effectLst>
              <a:outerShdw dist="12700" dir="2700000" algn="tl" rotWithShape="0">
                <a:schemeClr val="bg1">
                  <a:alpha val="71000"/>
                </a:scheme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80874438665644E-2"/>
          <c:y val="8.0930703085483058E-2"/>
          <c:w val="0.93606890005907928"/>
          <c:h val="0.6543386742817997"/>
        </c:manualLayout>
      </c:layout>
      <c:lineChart>
        <c:grouping val="standard"/>
        <c:varyColors val="0"/>
        <c:ser>
          <c:idx val="0"/>
          <c:order val="0"/>
          <c:tx>
            <c:strRef>
              <c:f>Analysis!$P$21</c:f>
              <c:strCache>
                <c:ptCount val="1"/>
                <c:pt idx="0">
                  <c:v>Total</c:v>
                </c:pt>
              </c:strCache>
            </c:strRef>
          </c:tx>
          <c:spPr>
            <a:ln w="31750" cap="rnd" cmpd="sng">
              <a:solidFill>
                <a:srgbClr val="00B0F0"/>
              </a:solidFill>
              <a:round/>
            </a:ln>
            <a:effectLst>
              <a:outerShdw dist="12700" dir="2700000" algn="tl" rotWithShape="0">
                <a:schemeClr val="bg1">
                  <a:alpha val="71000"/>
                </a:schemeClr>
              </a:outerShdw>
            </a:effectLst>
          </c:spPr>
          <c:marker>
            <c:symbol val="circle"/>
            <c:size val="5"/>
            <c:spPr>
              <a:noFill/>
              <a:ln w="19050" cap="rnd">
                <a:solidFill>
                  <a:schemeClr val="lt1"/>
                </a:solidFill>
                <a:bevel/>
              </a:ln>
              <a:effectLst>
                <a:outerShdw dist="12700" dir="2700000" algn="tl" rotWithShape="0">
                  <a:schemeClr val="bg1">
                    <a:alpha val="71000"/>
                  </a:scheme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Analysis!$O$22:$O$25</c:f>
              <c:strCache>
                <c:ptCount val="3"/>
                <c:pt idx="0">
                  <c:v>OCTOBER</c:v>
                </c:pt>
                <c:pt idx="1">
                  <c:v>NOVEMBER</c:v>
                </c:pt>
                <c:pt idx="2">
                  <c:v>DECEMBER</c:v>
                </c:pt>
              </c:strCache>
            </c:strRef>
          </c:cat>
          <c:val>
            <c:numRef>
              <c:f>Analysis!$P$22:$P$25</c:f>
              <c:numCache>
                <c:formatCode>"$"#,##0</c:formatCode>
                <c:ptCount val="3"/>
                <c:pt idx="0">
                  <c:v>54597.010999999999</c:v>
                </c:pt>
                <c:pt idx="1">
                  <c:v>57555.077750000004</c:v>
                </c:pt>
                <c:pt idx="2">
                  <c:v>104625.45800000001</c:v>
                </c:pt>
              </c:numCache>
            </c:numRef>
          </c:val>
          <c:smooth val="0"/>
          <c:extLst>
            <c:ext xmlns:c16="http://schemas.microsoft.com/office/drawing/2014/chart" uri="{C3380CC4-5D6E-409C-BE32-E72D297353CC}">
              <c16:uniqueId val="{00000000-36ED-4FBB-AB59-A2335E7284DC}"/>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a:outerShdw blurRad="50800" dist="50800" dir="5400000" algn="ctr" rotWithShape="0">
                <a:srgbClr val="00B0F0"/>
              </a:outerShdw>
            </a:effectLst>
          </c:spPr>
        </c:dropLines>
        <c:marker val="1"/>
        <c:smooth val="0"/>
        <c:axId val="1483008751"/>
        <c:axId val="1540648703"/>
      </c:lineChart>
      <c:catAx>
        <c:axId val="1483008751"/>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en-US"/>
          </a:p>
        </c:txPr>
        <c:crossAx val="1540648703"/>
        <c:crosses val="autoZero"/>
        <c:auto val="1"/>
        <c:lblAlgn val="ctr"/>
        <c:lblOffset val="100"/>
        <c:noMultiLvlLbl val="0"/>
      </c:catAx>
      <c:valAx>
        <c:axId val="1540648703"/>
        <c:scaling>
          <c:orientation val="minMax"/>
        </c:scaling>
        <c:delete val="1"/>
        <c:axPos val="l"/>
        <c:numFmt formatCode="&quot;$&quot;#,##0" sourceLinked="1"/>
        <c:majorTickMark val="none"/>
        <c:minorTickMark val="none"/>
        <c:tickLblPos val="nextTo"/>
        <c:crossAx val="1483008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[SA_SALES_PIPELINE.xlsm]Analysis!PivotTable5</c:name>
    <c:fmtId val="2"/>
  </c:pivotSource>
  <c:chart>
    <c:autoTitleDeleted val="1"/>
    <c:pivotFmts>
      <c:pivotFmt>
        <c:idx val="0"/>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spc="1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spc="1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rgbClr val="00B0F0"/>
            </a:solidFill>
            <a:round/>
          </a:ln>
          <a:effectLst>
            <a:outerShdw dist="12700" dir="2700000" algn="tl" rotWithShape="0">
              <a:schemeClr val="bg1">
                <a:alpha val="87000"/>
              </a:schemeClr>
            </a:outerShdw>
          </a:effectLst>
        </c:spPr>
        <c:marker>
          <c:symbol val="circle"/>
          <c:size val="5"/>
          <c:spPr>
            <a:solidFill>
              <a:schemeClr val="accent1"/>
            </a:solidFill>
            <a:ln w="22225">
              <a:solidFill>
                <a:schemeClr val="lt1"/>
              </a:solidFill>
              <a:round/>
            </a:ln>
            <a:effectLst>
              <a:outerShdw dist="12700" dir="2700000" algn="tl" rotWithShape="0">
                <a:schemeClr val="bg1">
                  <a:alpha val="87000"/>
                </a:schemeClr>
              </a:outerShdw>
            </a:effectLst>
          </c:spPr>
        </c:marker>
        <c:dLbl>
          <c:idx val="0"/>
          <c:spPr>
            <a:noFill/>
            <a:ln>
              <a:noFill/>
            </a:ln>
            <a:effectLst/>
          </c:spPr>
          <c:txPr>
            <a:bodyPr rot="0" spcFirstLastPara="1" vertOverflow="ellipsis" vert="horz" wrap="square" anchor="ctr" anchorCtr="1"/>
            <a:lstStyle/>
            <a:p>
              <a:pPr>
                <a:defRPr lang="en-US" sz="900" b="1" i="0" u="none" strike="noStrike" kern="1200" spc="1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rgbClr val="00B0F0"/>
            </a:solidFill>
            <a:round/>
          </a:ln>
          <a:effectLst>
            <a:outerShdw dist="12700" dir="2700000" algn="tl" rotWithShape="0">
              <a:schemeClr val="bg1">
                <a:alpha val="87000"/>
              </a:schemeClr>
            </a:outerShdw>
          </a:effectLst>
        </c:spPr>
        <c:marker>
          <c:symbol val="circle"/>
          <c:size val="5"/>
          <c:spPr>
            <a:noFill/>
            <a:ln w="15875">
              <a:solidFill>
                <a:schemeClr val="lt1"/>
              </a:solidFill>
              <a:round/>
            </a:ln>
            <a:effectLst>
              <a:outerShdw dist="12700" dir="2700000" algn="tl" rotWithShape="0">
                <a:schemeClr val="bg1">
                  <a:alpha val="87000"/>
                </a:schemeClr>
              </a:outerShdw>
            </a:effectLst>
          </c:spPr>
        </c:marker>
      </c:pivotFmt>
      <c:pivotFmt>
        <c:idx val="4"/>
        <c:spPr>
          <a:ln w="34925" cap="rnd">
            <a:solidFill>
              <a:srgbClr val="00B0F0"/>
            </a:solidFill>
            <a:round/>
          </a:ln>
          <a:effectLst>
            <a:outerShdw dist="12700" dir="2700000" algn="tl" rotWithShape="0">
              <a:schemeClr val="bg1">
                <a:alpha val="87000"/>
              </a:schemeClr>
            </a:outerShdw>
          </a:effectLst>
        </c:spPr>
        <c:marker>
          <c:symbol val="circle"/>
          <c:size val="5"/>
          <c:spPr>
            <a:solidFill>
              <a:schemeClr val="accent1"/>
            </a:solidFill>
            <a:ln w="22225">
              <a:solidFill>
                <a:schemeClr val="lt1"/>
              </a:solidFill>
              <a:round/>
            </a:ln>
            <a:effectLst>
              <a:outerShdw dist="12700" dir="2700000" algn="tl" rotWithShape="0">
                <a:schemeClr val="bg1">
                  <a:alpha val="87000"/>
                </a:schemeClr>
              </a:outerShdw>
            </a:effectLst>
          </c:spPr>
        </c:marker>
      </c:pivotFmt>
    </c:pivotFmts>
    <c:plotArea>
      <c:layout>
        <c:manualLayout>
          <c:layoutTarget val="inner"/>
          <c:xMode val="edge"/>
          <c:yMode val="edge"/>
          <c:x val="5.6676031394133984E-2"/>
          <c:y val="3.168516606711938E-2"/>
          <c:w val="0.91883639545056872"/>
          <c:h val="0.66632125902794259"/>
        </c:manualLayout>
      </c:layout>
      <c:lineChart>
        <c:grouping val="standard"/>
        <c:varyColors val="0"/>
        <c:ser>
          <c:idx val="0"/>
          <c:order val="0"/>
          <c:tx>
            <c:strRef>
              <c:f>Analysis!$S$21</c:f>
              <c:strCache>
                <c:ptCount val="1"/>
                <c:pt idx="0">
                  <c:v>Total</c:v>
                </c:pt>
              </c:strCache>
            </c:strRef>
          </c:tx>
          <c:spPr>
            <a:ln w="34925" cap="rnd">
              <a:solidFill>
                <a:srgbClr val="00B0F0"/>
              </a:solidFill>
              <a:round/>
            </a:ln>
            <a:effectLst>
              <a:outerShdw dist="12700" dir="2700000" algn="tl" rotWithShape="0">
                <a:schemeClr val="bg1">
                  <a:alpha val="87000"/>
                </a:schemeClr>
              </a:outerShdw>
            </a:effectLst>
          </c:spPr>
          <c:marker>
            <c:symbol val="circle"/>
            <c:size val="5"/>
            <c:spPr>
              <a:solidFill>
                <a:schemeClr val="accent1"/>
              </a:solidFill>
              <a:ln w="22225">
                <a:solidFill>
                  <a:schemeClr val="lt1"/>
                </a:solidFill>
                <a:round/>
              </a:ln>
              <a:effectLst>
                <a:outerShdw dist="12700" dir="2700000" algn="tl" rotWithShape="0">
                  <a:schemeClr val="bg1">
                    <a:alpha val="87000"/>
                  </a:schemeClr>
                </a:outerShdw>
              </a:effectLst>
            </c:spPr>
          </c:marker>
          <c:dPt>
            <c:idx val="3"/>
            <c:marker>
              <c:symbol val="circle"/>
              <c:size val="5"/>
              <c:spPr>
                <a:solidFill>
                  <a:schemeClr val="accent1"/>
                </a:solidFill>
                <a:ln w="22225">
                  <a:solidFill>
                    <a:schemeClr val="lt1"/>
                  </a:solidFill>
                  <a:round/>
                </a:ln>
                <a:effectLst>
                  <a:outerShdw dist="12700" dir="2700000" algn="tl" rotWithShape="0">
                    <a:schemeClr val="bg1">
                      <a:alpha val="87000"/>
                    </a:schemeClr>
                  </a:outerShdw>
                </a:effectLst>
              </c:spPr>
            </c:marker>
            <c:bubble3D val="0"/>
            <c:spPr>
              <a:ln w="34925" cap="rnd">
                <a:solidFill>
                  <a:srgbClr val="00B0F0"/>
                </a:solidFill>
                <a:round/>
              </a:ln>
              <a:effectLst>
                <a:outerShdw dist="12700" dir="2700000" algn="tl" rotWithShape="0">
                  <a:schemeClr val="bg1">
                    <a:alpha val="87000"/>
                  </a:schemeClr>
                </a:outerShdw>
              </a:effectLst>
            </c:spPr>
            <c:extLst>
              <c:ext xmlns:c16="http://schemas.microsoft.com/office/drawing/2014/chart" uri="{C3380CC4-5D6E-409C-BE32-E72D297353CC}">
                <c16:uniqueId val="{00000001-5214-45D7-B5FB-1583B52B2E7D}"/>
              </c:ext>
            </c:extLst>
          </c:dPt>
          <c:dPt>
            <c:idx val="5"/>
            <c:marker>
              <c:symbol val="circle"/>
              <c:size val="5"/>
              <c:spPr>
                <a:noFill/>
                <a:ln w="15875">
                  <a:solidFill>
                    <a:schemeClr val="lt1"/>
                  </a:solidFill>
                  <a:round/>
                </a:ln>
                <a:effectLst>
                  <a:outerShdw dist="12700" dir="2700000" algn="tl" rotWithShape="0">
                    <a:schemeClr val="bg1">
                      <a:alpha val="87000"/>
                    </a:schemeClr>
                  </a:outerShdw>
                </a:effectLst>
              </c:spPr>
            </c:marker>
            <c:bubble3D val="0"/>
            <c:spPr>
              <a:ln w="34925" cap="rnd">
                <a:solidFill>
                  <a:srgbClr val="00B0F0"/>
                </a:solidFill>
                <a:round/>
              </a:ln>
              <a:effectLst>
                <a:outerShdw dist="12700" dir="2700000" algn="tl" rotWithShape="0">
                  <a:schemeClr val="bg1">
                    <a:alpha val="87000"/>
                  </a:schemeClr>
                </a:outerShdw>
              </a:effectLst>
            </c:spPr>
            <c:extLst>
              <c:ext xmlns:c16="http://schemas.microsoft.com/office/drawing/2014/chart" uri="{C3380CC4-5D6E-409C-BE32-E72D297353CC}">
                <c16:uniqueId val="{00000001-2BFB-4BF5-94D8-C4CAC0C89297}"/>
              </c:ext>
            </c:extLst>
          </c:dPt>
          <c:dLbls>
            <c:spPr>
              <a:noFill/>
              <a:ln>
                <a:noFill/>
              </a:ln>
              <a:effectLst/>
            </c:spPr>
            <c:txPr>
              <a:bodyPr rot="0" spcFirstLastPara="1" vertOverflow="ellipsis" vert="horz" wrap="square" anchor="ctr" anchorCtr="1"/>
              <a:lstStyle/>
              <a:p>
                <a:pPr>
                  <a:defRPr lang="en-US" sz="900" b="1" i="0" u="none" strike="noStrike" kern="1200" spc="1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Analysis!$R$22:$R$32</c:f>
              <c:strCache>
                <c:ptCount val="10"/>
                <c:pt idx="0">
                  <c:v>JANUARY</c:v>
                </c:pt>
                <c:pt idx="1">
                  <c:v>FEBRUARY</c:v>
                </c:pt>
                <c:pt idx="2">
                  <c:v>APRIL</c:v>
                </c:pt>
                <c:pt idx="3">
                  <c:v>MAY</c:v>
                </c:pt>
                <c:pt idx="4">
                  <c:v>JUNE</c:v>
                </c:pt>
                <c:pt idx="5">
                  <c:v>SEPTEMBER</c:v>
                </c:pt>
                <c:pt idx="6">
                  <c:v>(blank)</c:v>
                </c:pt>
                <c:pt idx="7">
                  <c:v>MARCH</c:v>
                </c:pt>
                <c:pt idx="8">
                  <c:v>JULY</c:v>
                </c:pt>
                <c:pt idx="9">
                  <c:v>AUGUST</c:v>
                </c:pt>
              </c:strCache>
            </c:strRef>
          </c:cat>
          <c:val>
            <c:numRef>
              <c:f>Analysis!$S$22:$S$32</c:f>
              <c:numCache>
                <c:formatCode>"$"#,##0</c:formatCode>
                <c:ptCount val="10"/>
                <c:pt idx="0">
                  <c:v>93461</c:v>
                </c:pt>
                <c:pt idx="1">
                  <c:v>20828</c:v>
                </c:pt>
                <c:pt idx="2">
                  <c:v>31933</c:v>
                </c:pt>
                <c:pt idx="3">
                  <c:v>34723.35</c:v>
                </c:pt>
                <c:pt idx="4">
                  <c:v>76248.66</c:v>
                </c:pt>
                <c:pt idx="5">
                  <c:v>30000</c:v>
                </c:pt>
                <c:pt idx="6">
                  <c:v>314145.52249999996</c:v>
                </c:pt>
                <c:pt idx="7">
                  <c:v>29008</c:v>
                </c:pt>
                <c:pt idx="8">
                  <c:v>67118.11</c:v>
                </c:pt>
                <c:pt idx="9">
                  <c:v>88225.59</c:v>
                </c:pt>
              </c:numCache>
            </c:numRef>
          </c:val>
          <c:smooth val="0"/>
          <c:extLst>
            <c:ext xmlns:c16="http://schemas.microsoft.com/office/drawing/2014/chart" uri="{C3380CC4-5D6E-409C-BE32-E72D297353CC}">
              <c16:uniqueId val="{00000000-2BFB-4BF5-94D8-C4CAC0C89297}"/>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492158575"/>
        <c:axId val="1757936879"/>
      </c:lineChart>
      <c:catAx>
        <c:axId val="1492158575"/>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lgn="ctr">
              <a:defRPr lang="en-US" sz="900" b="0" i="0" u="none" strike="noStrike" kern="1200" spc="100" baseline="0">
                <a:solidFill>
                  <a:schemeClr val="lt1"/>
                </a:solidFill>
                <a:latin typeface="+mn-lt"/>
                <a:ea typeface="+mn-ea"/>
                <a:cs typeface="+mn-cs"/>
              </a:defRPr>
            </a:pPr>
            <a:endParaRPr lang="en-US"/>
          </a:p>
        </c:txPr>
        <c:crossAx val="1757936879"/>
        <c:crosses val="autoZero"/>
        <c:auto val="1"/>
        <c:lblAlgn val="ctr"/>
        <c:lblOffset val="100"/>
        <c:noMultiLvlLbl val="0"/>
      </c:catAx>
      <c:valAx>
        <c:axId val="1757936879"/>
        <c:scaling>
          <c:orientation val="minMax"/>
        </c:scaling>
        <c:delete val="1"/>
        <c:axPos val="l"/>
        <c:numFmt formatCode="&quot;$&quot;#,##0" sourceLinked="1"/>
        <c:majorTickMark val="none"/>
        <c:minorTickMark val="none"/>
        <c:tickLblPos val="nextTo"/>
        <c:crossAx val="1492158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900" b="0" i="0" u="none" strike="noStrike" kern="1200" spc="100" baseline="0">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24ONES</c:v>
          </c:tx>
          <c:spPr>
            <a:solidFill>
              <a:srgbClr val="00B0F0"/>
            </a:solidFill>
            <a:ln>
              <a:noFill/>
            </a:ln>
          </c:spPr>
          <c:explosion val="10"/>
          <c:dPt>
            <c:idx val="0"/>
            <c:bubble3D val="0"/>
            <c:spPr>
              <a:solidFill>
                <a:srgbClr val="00B0F0"/>
              </a:solidFill>
              <a:ln w="19050">
                <a:noFill/>
              </a:ln>
              <a:effectLst/>
            </c:spPr>
            <c:extLst>
              <c:ext xmlns:c16="http://schemas.microsoft.com/office/drawing/2014/chart" uri="{C3380CC4-5D6E-409C-BE32-E72D297353CC}">
                <c16:uniqueId val="{00000001-7F5A-4C79-975B-40A087B72A52}"/>
              </c:ext>
            </c:extLst>
          </c:dPt>
          <c:dPt>
            <c:idx val="1"/>
            <c:bubble3D val="0"/>
            <c:spPr>
              <a:solidFill>
                <a:srgbClr val="00B0F0"/>
              </a:solidFill>
              <a:ln w="19050">
                <a:noFill/>
              </a:ln>
              <a:effectLst/>
            </c:spPr>
            <c:extLst>
              <c:ext xmlns:c16="http://schemas.microsoft.com/office/drawing/2014/chart" uri="{C3380CC4-5D6E-409C-BE32-E72D297353CC}">
                <c16:uniqueId val="{00000003-7F5A-4C79-975B-40A087B72A52}"/>
              </c:ext>
            </c:extLst>
          </c:dPt>
          <c:dPt>
            <c:idx val="2"/>
            <c:bubble3D val="0"/>
            <c:spPr>
              <a:solidFill>
                <a:srgbClr val="00B0F0"/>
              </a:solidFill>
              <a:ln w="19050">
                <a:noFill/>
              </a:ln>
              <a:effectLst/>
            </c:spPr>
            <c:extLst>
              <c:ext xmlns:c16="http://schemas.microsoft.com/office/drawing/2014/chart" uri="{C3380CC4-5D6E-409C-BE32-E72D297353CC}">
                <c16:uniqueId val="{00000005-7F5A-4C79-975B-40A087B72A52}"/>
              </c:ext>
            </c:extLst>
          </c:dPt>
          <c:dPt>
            <c:idx val="3"/>
            <c:bubble3D val="0"/>
            <c:spPr>
              <a:solidFill>
                <a:srgbClr val="00B0F0"/>
              </a:solidFill>
              <a:ln w="19050">
                <a:noFill/>
              </a:ln>
              <a:effectLst/>
            </c:spPr>
            <c:extLst>
              <c:ext xmlns:c16="http://schemas.microsoft.com/office/drawing/2014/chart" uri="{C3380CC4-5D6E-409C-BE32-E72D297353CC}">
                <c16:uniqueId val="{00000007-7F5A-4C79-975B-40A087B72A52}"/>
              </c:ext>
            </c:extLst>
          </c:dPt>
          <c:dPt>
            <c:idx val="4"/>
            <c:bubble3D val="0"/>
            <c:spPr>
              <a:solidFill>
                <a:srgbClr val="00B0F0"/>
              </a:solidFill>
              <a:ln w="19050">
                <a:noFill/>
              </a:ln>
              <a:effectLst/>
            </c:spPr>
            <c:extLst>
              <c:ext xmlns:c16="http://schemas.microsoft.com/office/drawing/2014/chart" uri="{C3380CC4-5D6E-409C-BE32-E72D297353CC}">
                <c16:uniqueId val="{00000009-7F5A-4C79-975B-40A087B72A52}"/>
              </c:ext>
            </c:extLst>
          </c:dPt>
          <c:dPt>
            <c:idx val="5"/>
            <c:bubble3D val="0"/>
            <c:spPr>
              <a:solidFill>
                <a:srgbClr val="00B0F0"/>
              </a:solidFill>
              <a:ln w="19050">
                <a:noFill/>
              </a:ln>
              <a:effectLst/>
            </c:spPr>
            <c:extLst>
              <c:ext xmlns:c16="http://schemas.microsoft.com/office/drawing/2014/chart" uri="{C3380CC4-5D6E-409C-BE32-E72D297353CC}">
                <c16:uniqueId val="{0000000B-7F5A-4C79-975B-40A087B72A52}"/>
              </c:ext>
            </c:extLst>
          </c:dPt>
          <c:dPt>
            <c:idx val="6"/>
            <c:bubble3D val="0"/>
            <c:spPr>
              <a:solidFill>
                <a:srgbClr val="00B0F0"/>
              </a:solidFill>
              <a:ln w="19050">
                <a:noFill/>
              </a:ln>
              <a:effectLst/>
            </c:spPr>
            <c:extLst>
              <c:ext xmlns:c16="http://schemas.microsoft.com/office/drawing/2014/chart" uri="{C3380CC4-5D6E-409C-BE32-E72D297353CC}">
                <c16:uniqueId val="{0000000D-7F5A-4C79-975B-40A087B72A52}"/>
              </c:ext>
            </c:extLst>
          </c:dPt>
          <c:dPt>
            <c:idx val="7"/>
            <c:bubble3D val="0"/>
            <c:spPr>
              <a:solidFill>
                <a:srgbClr val="00B0F0"/>
              </a:solidFill>
              <a:ln w="19050">
                <a:noFill/>
              </a:ln>
              <a:effectLst/>
            </c:spPr>
            <c:extLst>
              <c:ext xmlns:c16="http://schemas.microsoft.com/office/drawing/2014/chart" uri="{C3380CC4-5D6E-409C-BE32-E72D297353CC}">
                <c16:uniqueId val="{0000000F-7F5A-4C79-975B-40A087B72A52}"/>
              </c:ext>
            </c:extLst>
          </c:dPt>
          <c:dPt>
            <c:idx val="8"/>
            <c:bubble3D val="0"/>
            <c:spPr>
              <a:solidFill>
                <a:srgbClr val="00B0F0"/>
              </a:solidFill>
              <a:ln w="19050">
                <a:noFill/>
              </a:ln>
              <a:effectLst/>
            </c:spPr>
            <c:extLst>
              <c:ext xmlns:c16="http://schemas.microsoft.com/office/drawing/2014/chart" uri="{C3380CC4-5D6E-409C-BE32-E72D297353CC}">
                <c16:uniqueId val="{00000011-7F5A-4C79-975B-40A087B72A52}"/>
              </c:ext>
            </c:extLst>
          </c:dPt>
          <c:dPt>
            <c:idx val="9"/>
            <c:bubble3D val="0"/>
            <c:spPr>
              <a:solidFill>
                <a:srgbClr val="00B0F0"/>
              </a:solidFill>
              <a:ln w="19050">
                <a:noFill/>
              </a:ln>
              <a:effectLst/>
            </c:spPr>
            <c:extLst>
              <c:ext xmlns:c16="http://schemas.microsoft.com/office/drawing/2014/chart" uri="{C3380CC4-5D6E-409C-BE32-E72D297353CC}">
                <c16:uniqueId val="{00000013-7F5A-4C79-975B-40A087B72A52}"/>
              </c:ext>
            </c:extLst>
          </c:dPt>
          <c:dPt>
            <c:idx val="10"/>
            <c:bubble3D val="0"/>
            <c:spPr>
              <a:solidFill>
                <a:srgbClr val="00B0F0"/>
              </a:solidFill>
              <a:ln w="19050">
                <a:noFill/>
              </a:ln>
              <a:effectLst/>
            </c:spPr>
            <c:extLst>
              <c:ext xmlns:c16="http://schemas.microsoft.com/office/drawing/2014/chart" uri="{C3380CC4-5D6E-409C-BE32-E72D297353CC}">
                <c16:uniqueId val="{00000015-7F5A-4C79-975B-40A087B72A52}"/>
              </c:ext>
            </c:extLst>
          </c:dPt>
          <c:dPt>
            <c:idx val="11"/>
            <c:bubble3D val="0"/>
            <c:spPr>
              <a:solidFill>
                <a:srgbClr val="00B0F0"/>
              </a:solidFill>
              <a:ln w="19050">
                <a:noFill/>
              </a:ln>
              <a:effectLst/>
            </c:spPr>
            <c:extLst>
              <c:ext xmlns:c16="http://schemas.microsoft.com/office/drawing/2014/chart" uri="{C3380CC4-5D6E-409C-BE32-E72D297353CC}">
                <c16:uniqueId val="{00000017-7F5A-4C79-975B-40A087B72A52}"/>
              </c:ext>
            </c:extLst>
          </c:dPt>
          <c:dPt>
            <c:idx val="12"/>
            <c:bubble3D val="0"/>
            <c:spPr>
              <a:solidFill>
                <a:srgbClr val="00B0F0"/>
              </a:solidFill>
              <a:ln w="19050">
                <a:noFill/>
              </a:ln>
              <a:effectLst/>
            </c:spPr>
            <c:extLst>
              <c:ext xmlns:c16="http://schemas.microsoft.com/office/drawing/2014/chart" uri="{C3380CC4-5D6E-409C-BE32-E72D297353CC}">
                <c16:uniqueId val="{00000019-7F5A-4C79-975B-40A087B72A52}"/>
              </c:ext>
            </c:extLst>
          </c:dPt>
          <c:dPt>
            <c:idx val="13"/>
            <c:bubble3D val="0"/>
            <c:spPr>
              <a:solidFill>
                <a:srgbClr val="00B0F0"/>
              </a:solidFill>
              <a:ln w="19050">
                <a:noFill/>
              </a:ln>
              <a:effectLst/>
            </c:spPr>
            <c:extLst>
              <c:ext xmlns:c16="http://schemas.microsoft.com/office/drawing/2014/chart" uri="{C3380CC4-5D6E-409C-BE32-E72D297353CC}">
                <c16:uniqueId val="{0000001B-7F5A-4C79-975B-40A087B72A52}"/>
              </c:ext>
            </c:extLst>
          </c:dPt>
          <c:dPt>
            <c:idx val="14"/>
            <c:bubble3D val="0"/>
            <c:spPr>
              <a:solidFill>
                <a:srgbClr val="00B0F0"/>
              </a:solidFill>
              <a:ln w="19050">
                <a:noFill/>
              </a:ln>
              <a:effectLst/>
            </c:spPr>
            <c:extLst>
              <c:ext xmlns:c16="http://schemas.microsoft.com/office/drawing/2014/chart" uri="{C3380CC4-5D6E-409C-BE32-E72D297353CC}">
                <c16:uniqueId val="{0000001D-7F5A-4C79-975B-40A087B72A52}"/>
              </c:ext>
            </c:extLst>
          </c:dPt>
          <c:dPt>
            <c:idx val="15"/>
            <c:bubble3D val="0"/>
            <c:spPr>
              <a:solidFill>
                <a:srgbClr val="00B0F0"/>
              </a:solidFill>
              <a:ln w="19050">
                <a:noFill/>
              </a:ln>
              <a:effectLst/>
            </c:spPr>
            <c:extLst>
              <c:ext xmlns:c16="http://schemas.microsoft.com/office/drawing/2014/chart" uri="{C3380CC4-5D6E-409C-BE32-E72D297353CC}">
                <c16:uniqueId val="{0000001F-7F5A-4C79-975B-40A087B72A52}"/>
              </c:ext>
            </c:extLst>
          </c:dPt>
          <c:dPt>
            <c:idx val="16"/>
            <c:bubble3D val="0"/>
            <c:spPr>
              <a:solidFill>
                <a:srgbClr val="00B0F0"/>
              </a:solidFill>
              <a:ln w="19050">
                <a:noFill/>
              </a:ln>
              <a:effectLst/>
            </c:spPr>
            <c:extLst>
              <c:ext xmlns:c16="http://schemas.microsoft.com/office/drawing/2014/chart" uri="{C3380CC4-5D6E-409C-BE32-E72D297353CC}">
                <c16:uniqueId val="{00000021-7F5A-4C79-975B-40A087B72A52}"/>
              </c:ext>
            </c:extLst>
          </c:dPt>
          <c:dPt>
            <c:idx val="17"/>
            <c:bubble3D val="0"/>
            <c:spPr>
              <a:solidFill>
                <a:srgbClr val="00B0F0"/>
              </a:solidFill>
              <a:ln w="19050">
                <a:noFill/>
              </a:ln>
              <a:effectLst/>
            </c:spPr>
            <c:extLst>
              <c:ext xmlns:c16="http://schemas.microsoft.com/office/drawing/2014/chart" uri="{C3380CC4-5D6E-409C-BE32-E72D297353CC}">
                <c16:uniqueId val="{00000023-7F5A-4C79-975B-40A087B72A52}"/>
              </c:ext>
            </c:extLst>
          </c:dPt>
          <c:dPt>
            <c:idx val="18"/>
            <c:bubble3D val="0"/>
            <c:spPr>
              <a:solidFill>
                <a:srgbClr val="00B0F0"/>
              </a:solidFill>
              <a:ln w="19050">
                <a:noFill/>
              </a:ln>
              <a:effectLst/>
            </c:spPr>
            <c:extLst>
              <c:ext xmlns:c16="http://schemas.microsoft.com/office/drawing/2014/chart" uri="{C3380CC4-5D6E-409C-BE32-E72D297353CC}">
                <c16:uniqueId val="{00000025-7F5A-4C79-975B-40A087B72A52}"/>
              </c:ext>
            </c:extLst>
          </c:dPt>
          <c:dPt>
            <c:idx val="19"/>
            <c:bubble3D val="0"/>
            <c:spPr>
              <a:solidFill>
                <a:srgbClr val="00B0F0"/>
              </a:solidFill>
              <a:ln w="19050">
                <a:noFill/>
              </a:ln>
              <a:effectLst/>
            </c:spPr>
            <c:extLst>
              <c:ext xmlns:c16="http://schemas.microsoft.com/office/drawing/2014/chart" uri="{C3380CC4-5D6E-409C-BE32-E72D297353CC}">
                <c16:uniqueId val="{00000027-7F5A-4C79-975B-40A087B72A52}"/>
              </c:ext>
            </c:extLst>
          </c:dPt>
          <c:dPt>
            <c:idx val="20"/>
            <c:bubble3D val="0"/>
            <c:spPr>
              <a:solidFill>
                <a:srgbClr val="00B0F0"/>
              </a:solidFill>
              <a:ln w="19050">
                <a:noFill/>
              </a:ln>
              <a:effectLst/>
            </c:spPr>
            <c:extLst>
              <c:ext xmlns:c16="http://schemas.microsoft.com/office/drawing/2014/chart" uri="{C3380CC4-5D6E-409C-BE32-E72D297353CC}">
                <c16:uniqueId val="{00000029-7F5A-4C79-975B-40A087B72A52}"/>
              </c:ext>
            </c:extLst>
          </c:dPt>
          <c:dPt>
            <c:idx val="21"/>
            <c:bubble3D val="0"/>
            <c:spPr>
              <a:solidFill>
                <a:srgbClr val="00B0F0"/>
              </a:solidFill>
              <a:ln w="19050">
                <a:noFill/>
              </a:ln>
              <a:effectLst/>
            </c:spPr>
            <c:extLst>
              <c:ext xmlns:c16="http://schemas.microsoft.com/office/drawing/2014/chart" uri="{C3380CC4-5D6E-409C-BE32-E72D297353CC}">
                <c16:uniqueId val="{0000002B-7F5A-4C79-975B-40A087B72A52}"/>
              </c:ext>
            </c:extLst>
          </c:dPt>
          <c:dPt>
            <c:idx val="22"/>
            <c:bubble3D val="0"/>
            <c:spPr>
              <a:solidFill>
                <a:srgbClr val="00B0F0"/>
              </a:solidFill>
              <a:ln w="19050">
                <a:noFill/>
              </a:ln>
              <a:effectLst/>
            </c:spPr>
            <c:extLst>
              <c:ext xmlns:c16="http://schemas.microsoft.com/office/drawing/2014/chart" uri="{C3380CC4-5D6E-409C-BE32-E72D297353CC}">
                <c16:uniqueId val="{0000002D-7F5A-4C79-975B-40A087B72A52}"/>
              </c:ext>
            </c:extLst>
          </c:dPt>
          <c:dPt>
            <c:idx val="23"/>
            <c:bubble3D val="0"/>
            <c:spPr>
              <a:solidFill>
                <a:srgbClr val="00B0F0"/>
              </a:solidFill>
              <a:ln w="19050">
                <a:noFill/>
              </a:ln>
              <a:effectLst/>
            </c:spPr>
            <c:extLst>
              <c:ext xmlns:c16="http://schemas.microsoft.com/office/drawing/2014/chart" uri="{C3380CC4-5D6E-409C-BE32-E72D297353CC}">
                <c16:uniqueId val="{0000002F-7F5A-4C79-975B-40A087B72A52}"/>
              </c:ext>
            </c:extLst>
          </c:dPt>
          <c:val>
            <c:numLit>
              <c:formatCode>General</c:formatCode>
              <c:ptCount val="24"/>
              <c:pt idx="0">
                <c:v>1</c:v>
              </c:pt>
              <c:pt idx="1">
                <c:v>1</c:v>
              </c:pt>
              <c:pt idx="2">
                <c:v>1</c:v>
              </c:pt>
              <c:pt idx="3">
                <c:v>1</c:v>
              </c:pt>
              <c:pt idx="4">
                <c:v>1.1000000000000001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Lit>
          </c:val>
          <c:extLst>
            <c:ext xmlns:c16="http://schemas.microsoft.com/office/drawing/2014/chart" uri="{C3380CC4-5D6E-409C-BE32-E72D297353CC}">
              <c16:uniqueId val="{00000000-BEB1-4908-A669-842279B81C4B}"/>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RENEWAL</c:v>
          </c:tx>
          <c:dPt>
            <c:idx val="0"/>
            <c:bubble3D val="0"/>
            <c:spPr>
              <a:noFill/>
              <a:ln w="19050">
                <a:noFill/>
              </a:ln>
              <a:effectLst/>
            </c:spPr>
            <c:extLst>
              <c:ext xmlns:c16="http://schemas.microsoft.com/office/drawing/2014/chart" uri="{C3380CC4-5D6E-409C-BE32-E72D297353CC}">
                <c16:uniqueId val="{00000002-BEB1-4908-A669-842279B81C4B}"/>
              </c:ext>
            </c:extLst>
          </c:dPt>
          <c:dPt>
            <c:idx val="1"/>
            <c:bubble3D val="0"/>
            <c:spPr>
              <a:solidFill>
                <a:srgbClr val="9BE5FF">
                  <a:alpha val="65000"/>
                </a:srgbClr>
              </a:solidFill>
              <a:ln w="19050">
                <a:noFill/>
              </a:ln>
              <a:effectLst/>
            </c:spPr>
            <c:extLst>
              <c:ext xmlns:c16="http://schemas.microsoft.com/office/drawing/2014/chart" uri="{C3380CC4-5D6E-409C-BE32-E72D297353CC}">
                <c16:uniqueId val="{00000003-BEB1-4908-A669-842279B81C4B}"/>
              </c:ext>
            </c:extLst>
          </c:dPt>
          <c:val>
            <c:numRef>
              <c:f>Analysis!$K$17:$L$17</c:f>
              <c:numCache>
                <c:formatCode>0%</c:formatCode>
                <c:ptCount val="2"/>
                <c:pt idx="0">
                  <c:v>1</c:v>
                </c:pt>
                <c:pt idx="1">
                  <c:v>0</c:v>
                </c:pt>
              </c:numCache>
            </c:numRef>
          </c:val>
          <c:extLst>
            <c:ext xmlns:c16="http://schemas.microsoft.com/office/drawing/2014/chart" uri="{C3380CC4-5D6E-409C-BE32-E72D297353CC}">
              <c16:uniqueId val="{00000001-BEB1-4908-A669-842279B81C4B}"/>
            </c:ext>
          </c:extLst>
        </c:ser>
        <c:dLbls>
          <c:showLegendKey val="0"/>
          <c:showVal val="0"/>
          <c:showCatName val="0"/>
          <c:showSerName val="0"/>
          <c:showPercent val="0"/>
          <c:showBubbleSize val="0"/>
          <c:showLeaderLines val="1"/>
        </c:dLbls>
        <c:firstSliceAng val="0"/>
        <c:holeSize val="73"/>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24ONES</c:v>
          </c:tx>
          <c:spPr>
            <a:solidFill>
              <a:srgbClr val="002060"/>
            </a:solidFill>
            <a:ln>
              <a:noFill/>
            </a:ln>
          </c:spPr>
          <c:explosion val="10"/>
          <c:dPt>
            <c:idx val="0"/>
            <c:bubble3D val="0"/>
            <c:spPr>
              <a:solidFill>
                <a:srgbClr val="002060"/>
              </a:solidFill>
              <a:ln w="19050">
                <a:noFill/>
              </a:ln>
              <a:effectLst/>
            </c:spPr>
            <c:extLst>
              <c:ext xmlns:c16="http://schemas.microsoft.com/office/drawing/2014/chart" uri="{C3380CC4-5D6E-409C-BE32-E72D297353CC}">
                <c16:uniqueId val="{00000001-70ED-4ED8-AD19-48565459D077}"/>
              </c:ext>
            </c:extLst>
          </c:dPt>
          <c:dPt>
            <c:idx val="1"/>
            <c:bubble3D val="0"/>
            <c:spPr>
              <a:solidFill>
                <a:srgbClr val="002060"/>
              </a:solidFill>
              <a:ln w="19050">
                <a:noFill/>
              </a:ln>
              <a:effectLst/>
            </c:spPr>
            <c:extLst>
              <c:ext xmlns:c16="http://schemas.microsoft.com/office/drawing/2014/chart" uri="{C3380CC4-5D6E-409C-BE32-E72D297353CC}">
                <c16:uniqueId val="{00000003-70ED-4ED8-AD19-48565459D077}"/>
              </c:ext>
            </c:extLst>
          </c:dPt>
          <c:dPt>
            <c:idx val="2"/>
            <c:bubble3D val="0"/>
            <c:spPr>
              <a:solidFill>
                <a:srgbClr val="002060"/>
              </a:solidFill>
              <a:ln w="19050">
                <a:noFill/>
              </a:ln>
              <a:effectLst/>
            </c:spPr>
            <c:extLst>
              <c:ext xmlns:c16="http://schemas.microsoft.com/office/drawing/2014/chart" uri="{C3380CC4-5D6E-409C-BE32-E72D297353CC}">
                <c16:uniqueId val="{00000005-70ED-4ED8-AD19-48565459D077}"/>
              </c:ext>
            </c:extLst>
          </c:dPt>
          <c:dPt>
            <c:idx val="3"/>
            <c:bubble3D val="0"/>
            <c:spPr>
              <a:solidFill>
                <a:srgbClr val="002060"/>
              </a:solidFill>
              <a:ln w="19050">
                <a:noFill/>
              </a:ln>
              <a:effectLst/>
            </c:spPr>
            <c:extLst>
              <c:ext xmlns:c16="http://schemas.microsoft.com/office/drawing/2014/chart" uri="{C3380CC4-5D6E-409C-BE32-E72D297353CC}">
                <c16:uniqueId val="{00000007-70ED-4ED8-AD19-48565459D077}"/>
              </c:ext>
            </c:extLst>
          </c:dPt>
          <c:dPt>
            <c:idx val="4"/>
            <c:bubble3D val="0"/>
            <c:spPr>
              <a:solidFill>
                <a:srgbClr val="002060"/>
              </a:solidFill>
              <a:ln w="19050">
                <a:noFill/>
              </a:ln>
              <a:effectLst/>
            </c:spPr>
            <c:extLst>
              <c:ext xmlns:c16="http://schemas.microsoft.com/office/drawing/2014/chart" uri="{C3380CC4-5D6E-409C-BE32-E72D297353CC}">
                <c16:uniqueId val="{00000009-70ED-4ED8-AD19-48565459D077}"/>
              </c:ext>
            </c:extLst>
          </c:dPt>
          <c:dPt>
            <c:idx val="5"/>
            <c:bubble3D val="0"/>
            <c:spPr>
              <a:solidFill>
                <a:srgbClr val="002060"/>
              </a:solidFill>
              <a:ln w="19050">
                <a:noFill/>
              </a:ln>
              <a:effectLst/>
            </c:spPr>
            <c:extLst>
              <c:ext xmlns:c16="http://schemas.microsoft.com/office/drawing/2014/chart" uri="{C3380CC4-5D6E-409C-BE32-E72D297353CC}">
                <c16:uniqueId val="{0000000B-70ED-4ED8-AD19-48565459D077}"/>
              </c:ext>
            </c:extLst>
          </c:dPt>
          <c:dPt>
            <c:idx val="6"/>
            <c:bubble3D val="0"/>
            <c:spPr>
              <a:solidFill>
                <a:srgbClr val="002060"/>
              </a:solidFill>
              <a:ln w="19050">
                <a:noFill/>
              </a:ln>
              <a:effectLst/>
            </c:spPr>
            <c:extLst>
              <c:ext xmlns:c16="http://schemas.microsoft.com/office/drawing/2014/chart" uri="{C3380CC4-5D6E-409C-BE32-E72D297353CC}">
                <c16:uniqueId val="{0000000D-70ED-4ED8-AD19-48565459D077}"/>
              </c:ext>
            </c:extLst>
          </c:dPt>
          <c:dPt>
            <c:idx val="7"/>
            <c:bubble3D val="0"/>
            <c:spPr>
              <a:solidFill>
                <a:srgbClr val="002060"/>
              </a:solidFill>
              <a:ln w="19050">
                <a:noFill/>
              </a:ln>
              <a:effectLst/>
            </c:spPr>
            <c:extLst>
              <c:ext xmlns:c16="http://schemas.microsoft.com/office/drawing/2014/chart" uri="{C3380CC4-5D6E-409C-BE32-E72D297353CC}">
                <c16:uniqueId val="{0000000F-70ED-4ED8-AD19-48565459D077}"/>
              </c:ext>
            </c:extLst>
          </c:dPt>
          <c:dPt>
            <c:idx val="8"/>
            <c:bubble3D val="0"/>
            <c:spPr>
              <a:solidFill>
                <a:srgbClr val="002060"/>
              </a:solidFill>
              <a:ln w="19050">
                <a:noFill/>
              </a:ln>
              <a:effectLst/>
            </c:spPr>
            <c:extLst>
              <c:ext xmlns:c16="http://schemas.microsoft.com/office/drawing/2014/chart" uri="{C3380CC4-5D6E-409C-BE32-E72D297353CC}">
                <c16:uniqueId val="{00000011-70ED-4ED8-AD19-48565459D077}"/>
              </c:ext>
            </c:extLst>
          </c:dPt>
          <c:dPt>
            <c:idx val="9"/>
            <c:bubble3D val="0"/>
            <c:spPr>
              <a:solidFill>
                <a:srgbClr val="002060"/>
              </a:solidFill>
              <a:ln w="19050">
                <a:noFill/>
              </a:ln>
              <a:effectLst/>
            </c:spPr>
            <c:extLst>
              <c:ext xmlns:c16="http://schemas.microsoft.com/office/drawing/2014/chart" uri="{C3380CC4-5D6E-409C-BE32-E72D297353CC}">
                <c16:uniqueId val="{00000013-70ED-4ED8-AD19-48565459D077}"/>
              </c:ext>
            </c:extLst>
          </c:dPt>
          <c:dPt>
            <c:idx val="10"/>
            <c:bubble3D val="0"/>
            <c:spPr>
              <a:solidFill>
                <a:srgbClr val="002060"/>
              </a:solidFill>
              <a:ln w="19050">
                <a:noFill/>
              </a:ln>
              <a:effectLst/>
            </c:spPr>
            <c:extLst>
              <c:ext xmlns:c16="http://schemas.microsoft.com/office/drawing/2014/chart" uri="{C3380CC4-5D6E-409C-BE32-E72D297353CC}">
                <c16:uniqueId val="{00000015-70ED-4ED8-AD19-48565459D077}"/>
              </c:ext>
            </c:extLst>
          </c:dPt>
          <c:dPt>
            <c:idx val="11"/>
            <c:bubble3D val="0"/>
            <c:spPr>
              <a:solidFill>
                <a:srgbClr val="002060"/>
              </a:solidFill>
              <a:ln w="19050">
                <a:noFill/>
              </a:ln>
              <a:effectLst/>
            </c:spPr>
            <c:extLst>
              <c:ext xmlns:c16="http://schemas.microsoft.com/office/drawing/2014/chart" uri="{C3380CC4-5D6E-409C-BE32-E72D297353CC}">
                <c16:uniqueId val="{00000017-70ED-4ED8-AD19-48565459D077}"/>
              </c:ext>
            </c:extLst>
          </c:dPt>
          <c:dPt>
            <c:idx val="12"/>
            <c:bubble3D val="0"/>
            <c:spPr>
              <a:solidFill>
                <a:srgbClr val="002060"/>
              </a:solidFill>
              <a:ln w="19050">
                <a:noFill/>
              </a:ln>
              <a:effectLst/>
            </c:spPr>
            <c:extLst>
              <c:ext xmlns:c16="http://schemas.microsoft.com/office/drawing/2014/chart" uri="{C3380CC4-5D6E-409C-BE32-E72D297353CC}">
                <c16:uniqueId val="{00000019-70ED-4ED8-AD19-48565459D077}"/>
              </c:ext>
            </c:extLst>
          </c:dPt>
          <c:dPt>
            <c:idx val="13"/>
            <c:bubble3D val="0"/>
            <c:spPr>
              <a:solidFill>
                <a:srgbClr val="002060"/>
              </a:solidFill>
              <a:ln w="19050">
                <a:noFill/>
              </a:ln>
              <a:effectLst/>
            </c:spPr>
            <c:extLst>
              <c:ext xmlns:c16="http://schemas.microsoft.com/office/drawing/2014/chart" uri="{C3380CC4-5D6E-409C-BE32-E72D297353CC}">
                <c16:uniqueId val="{0000001B-70ED-4ED8-AD19-48565459D077}"/>
              </c:ext>
            </c:extLst>
          </c:dPt>
          <c:dPt>
            <c:idx val="14"/>
            <c:bubble3D val="0"/>
            <c:spPr>
              <a:solidFill>
                <a:srgbClr val="002060"/>
              </a:solidFill>
              <a:ln w="19050">
                <a:noFill/>
              </a:ln>
              <a:effectLst/>
            </c:spPr>
            <c:extLst>
              <c:ext xmlns:c16="http://schemas.microsoft.com/office/drawing/2014/chart" uri="{C3380CC4-5D6E-409C-BE32-E72D297353CC}">
                <c16:uniqueId val="{0000001D-70ED-4ED8-AD19-48565459D077}"/>
              </c:ext>
            </c:extLst>
          </c:dPt>
          <c:dPt>
            <c:idx val="15"/>
            <c:bubble3D val="0"/>
            <c:spPr>
              <a:solidFill>
                <a:srgbClr val="002060"/>
              </a:solidFill>
              <a:ln w="19050">
                <a:noFill/>
              </a:ln>
              <a:effectLst/>
            </c:spPr>
            <c:extLst>
              <c:ext xmlns:c16="http://schemas.microsoft.com/office/drawing/2014/chart" uri="{C3380CC4-5D6E-409C-BE32-E72D297353CC}">
                <c16:uniqueId val="{0000001F-70ED-4ED8-AD19-48565459D077}"/>
              </c:ext>
            </c:extLst>
          </c:dPt>
          <c:dPt>
            <c:idx val="16"/>
            <c:bubble3D val="0"/>
            <c:spPr>
              <a:solidFill>
                <a:srgbClr val="002060"/>
              </a:solidFill>
              <a:ln w="19050">
                <a:noFill/>
              </a:ln>
              <a:effectLst/>
            </c:spPr>
            <c:extLst>
              <c:ext xmlns:c16="http://schemas.microsoft.com/office/drawing/2014/chart" uri="{C3380CC4-5D6E-409C-BE32-E72D297353CC}">
                <c16:uniqueId val="{00000021-70ED-4ED8-AD19-48565459D077}"/>
              </c:ext>
            </c:extLst>
          </c:dPt>
          <c:dPt>
            <c:idx val="17"/>
            <c:bubble3D val="0"/>
            <c:spPr>
              <a:solidFill>
                <a:srgbClr val="002060"/>
              </a:solidFill>
              <a:ln w="19050">
                <a:noFill/>
              </a:ln>
              <a:effectLst/>
            </c:spPr>
            <c:extLst>
              <c:ext xmlns:c16="http://schemas.microsoft.com/office/drawing/2014/chart" uri="{C3380CC4-5D6E-409C-BE32-E72D297353CC}">
                <c16:uniqueId val="{00000023-70ED-4ED8-AD19-48565459D077}"/>
              </c:ext>
            </c:extLst>
          </c:dPt>
          <c:dPt>
            <c:idx val="18"/>
            <c:bubble3D val="0"/>
            <c:spPr>
              <a:solidFill>
                <a:srgbClr val="002060"/>
              </a:solidFill>
              <a:ln w="19050">
                <a:noFill/>
              </a:ln>
              <a:effectLst/>
            </c:spPr>
            <c:extLst>
              <c:ext xmlns:c16="http://schemas.microsoft.com/office/drawing/2014/chart" uri="{C3380CC4-5D6E-409C-BE32-E72D297353CC}">
                <c16:uniqueId val="{00000025-70ED-4ED8-AD19-48565459D077}"/>
              </c:ext>
            </c:extLst>
          </c:dPt>
          <c:dPt>
            <c:idx val="19"/>
            <c:bubble3D val="0"/>
            <c:spPr>
              <a:solidFill>
                <a:srgbClr val="002060"/>
              </a:solidFill>
              <a:ln w="19050">
                <a:noFill/>
              </a:ln>
              <a:effectLst/>
            </c:spPr>
            <c:extLst>
              <c:ext xmlns:c16="http://schemas.microsoft.com/office/drawing/2014/chart" uri="{C3380CC4-5D6E-409C-BE32-E72D297353CC}">
                <c16:uniqueId val="{00000027-70ED-4ED8-AD19-48565459D077}"/>
              </c:ext>
            </c:extLst>
          </c:dPt>
          <c:dPt>
            <c:idx val="20"/>
            <c:bubble3D val="0"/>
            <c:spPr>
              <a:solidFill>
                <a:srgbClr val="002060"/>
              </a:solidFill>
              <a:ln w="19050">
                <a:noFill/>
              </a:ln>
              <a:effectLst/>
            </c:spPr>
            <c:extLst>
              <c:ext xmlns:c16="http://schemas.microsoft.com/office/drawing/2014/chart" uri="{C3380CC4-5D6E-409C-BE32-E72D297353CC}">
                <c16:uniqueId val="{00000029-70ED-4ED8-AD19-48565459D077}"/>
              </c:ext>
            </c:extLst>
          </c:dPt>
          <c:dPt>
            <c:idx val="21"/>
            <c:bubble3D val="0"/>
            <c:spPr>
              <a:solidFill>
                <a:srgbClr val="002060"/>
              </a:solidFill>
              <a:ln w="19050">
                <a:noFill/>
              </a:ln>
              <a:effectLst/>
            </c:spPr>
            <c:extLst>
              <c:ext xmlns:c16="http://schemas.microsoft.com/office/drawing/2014/chart" uri="{C3380CC4-5D6E-409C-BE32-E72D297353CC}">
                <c16:uniqueId val="{0000002B-70ED-4ED8-AD19-48565459D077}"/>
              </c:ext>
            </c:extLst>
          </c:dPt>
          <c:dPt>
            <c:idx val="22"/>
            <c:bubble3D val="0"/>
            <c:spPr>
              <a:solidFill>
                <a:srgbClr val="002060"/>
              </a:solidFill>
              <a:ln w="19050">
                <a:noFill/>
              </a:ln>
              <a:effectLst/>
            </c:spPr>
            <c:extLst>
              <c:ext xmlns:c16="http://schemas.microsoft.com/office/drawing/2014/chart" uri="{C3380CC4-5D6E-409C-BE32-E72D297353CC}">
                <c16:uniqueId val="{0000002D-70ED-4ED8-AD19-48565459D077}"/>
              </c:ext>
            </c:extLst>
          </c:dPt>
          <c:dPt>
            <c:idx val="23"/>
            <c:bubble3D val="0"/>
            <c:spPr>
              <a:solidFill>
                <a:srgbClr val="002060"/>
              </a:solidFill>
              <a:ln w="19050">
                <a:noFill/>
              </a:ln>
              <a:effectLst/>
            </c:spPr>
            <c:extLst>
              <c:ext xmlns:c16="http://schemas.microsoft.com/office/drawing/2014/chart" uri="{C3380CC4-5D6E-409C-BE32-E72D297353CC}">
                <c16:uniqueId val="{0000002F-70ED-4ED8-AD19-48565459D077}"/>
              </c:ext>
            </c:extLst>
          </c:dPt>
          <c:val>
            <c:numLit>
              <c:formatCode>General</c:formatCode>
              <c:ptCount val="24"/>
              <c:pt idx="0">
                <c:v>1</c:v>
              </c:pt>
              <c:pt idx="1">
                <c:v>1</c:v>
              </c:pt>
              <c:pt idx="2">
                <c:v>1</c:v>
              </c:pt>
              <c:pt idx="3">
                <c:v>1</c:v>
              </c:pt>
              <c:pt idx="4">
                <c:v>1.1000000000000001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Lit>
          </c:val>
          <c:extLst>
            <c:ext xmlns:c16="http://schemas.microsoft.com/office/drawing/2014/chart" uri="{C3380CC4-5D6E-409C-BE32-E72D297353CC}">
              <c16:uniqueId val="{00000030-70ED-4ED8-AD19-48565459D077}"/>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NEW BUSINESS</c:v>
          </c:tx>
          <c:spPr>
            <a:solidFill>
              <a:schemeClr val="bg1">
                <a:lumMod val="65000"/>
                <a:alpha val="43000"/>
              </a:schemeClr>
            </a:solidFill>
            <a:ln>
              <a:noFill/>
            </a:ln>
            <a:effectLst/>
          </c:spPr>
          <c:dPt>
            <c:idx val="0"/>
            <c:bubble3D val="0"/>
            <c:spPr>
              <a:noFill/>
              <a:ln w="19050">
                <a:noFill/>
              </a:ln>
              <a:effectLst/>
            </c:spPr>
            <c:extLst>
              <c:ext xmlns:c16="http://schemas.microsoft.com/office/drawing/2014/chart" uri="{C3380CC4-5D6E-409C-BE32-E72D297353CC}">
                <c16:uniqueId val="{00000038-70ED-4ED8-AD19-48565459D077}"/>
              </c:ext>
            </c:extLst>
          </c:dPt>
          <c:dPt>
            <c:idx val="1"/>
            <c:bubble3D val="0"/>
            <c:spPr>
              <a:solidFill>
                <a:schemeClr val="bg1">
                  <a:lumMod val="65000"/>
                  <a:alpha val="43000"/>
                </a:schemeClr>
              </a:solidFill>
              <a:ln w="19050">
                <a:noFill/>
              </a:ln>
              <a:effectLst>
                <a:outerShdw blurRad="50800" dist="50800" dir="5400000" sx="98000" sy="98000" algn="ctr" rotWithShape="0">
                  <a:schemeClr val="tx1">
                    <a:alpha val="43000"/>
                  </a:schemeClr>
                </a:outerShdw>
              </a:effectLst>
            </c:spPr>
            <c:extLst>
              <c:ext xmlns:c16="http://schemas.microsoft.com/office/drawing/2014/chart" uri="{C3380CC4-5D6E-409C-BE32-E72D297353CC}">
                <c16:uniqueId val="{00000039-70ED-4ED8-AD19-48565459D077}"/>
              </c:ext>
            </c:extLst>
          </c:dPt>
          <c:val>
            <c:numRef>
              <c:f>Analysis!$R$17:$S$17</c:f>
              <c:numCache>
                <c:formatCode>0%</c:formatCode>
                <c:ptCount val="2"/>
                <c:pt idx="0">
                  <c:v>1</c:v>
                </c:pt>
                <c:pt idx="1">
                  <c:v>0</c:v>
                </c:pt>
              </c:numCache>
            </c:numRef>
          </c:val>
          <c:extLst>
            <c:ext xmlns:c16="http://schemas.microsoft.com/office/drawing/2014/chart" uri="{C3380CC4-5D6E-409C-BE32-E72D297353CC}">
              <c16:uniqueId val="{00000037-70ED-4ED8-AD19-48565459D077}"/>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24ONES</c:v>
          </c:tx>
          <c:spPr>
            <a:solidFill>
              <a:srgbClr val="000099"/>
            </a:solidFill>
            <a:ln>
              <a:noFill/>
            </a:ln>
          </c:spPr>
          <c:explosion val="10"/>
          <c:dPt>
            <c:idx val="0"/>
            <c:bubble3D val="0"/>
            <c:spPr>
              <a:solidFill>
                <a:srgbClr val="000099"/>
              </a:solidFill>
              <a:ln w="19050">
                <a:noFill/>
              </a:ln>
              <a:effectLst/>
            </c:spPr>
            <c:extLst>
              <c:ext xmlns:c16="http://schemas.microsoft.com/office/drawing/2014/chart" uri="{C3380CC4-5D6E-409C-BE32-E72D297353CC}">
                <c16:uniqueId val="{00000001-CB76-4AB0-A3AE-248484583F80}"/>
              </c:ext>
            </c:extLst>
          </c:dPt>
          <c:dPt>
            <c:idx val="1"/>
            <c:bubble3D val="0"/>
            <c:spPr>
              <a:solidFill>
                <a:srgbClr val="000099"/>
              </a:solidFill>
              <a:ln w="19050">
                <a:noFill/>
              </a:ln>
              <a:effectLst/>
            </c:spPr>
            <c:extLst>
              <c:ext xmlns:c16="http://schemas.microsoft.com/office/drawing/2014/chart" uri="{C3380CC4-5D6E-409C-BE32-E72D297353CC}">
                <c16:uniqueId val="{00000003-CB76-4AB0-A3AE-248484583F80}"/>
              </c:ext>
            </c:extLst>
          </c:dPt>
          <c:dPt>
            <c:idx val="2"/>
            <c:bubble3D val="0"/>
            <c:spPr>
              <a:solidFill>
                <a:srgbClr val="000099"/>
              </a:solidFill>
              <a:ln w="19050">
                <a:noFill/>
              </a:ln>
              <a:effectLst/>
            </c:spPr>
            <c:extLst>
              <c:ext xmlns:c16="http://schemas.microsoft.com/office/drawing/2014/chart" uri="{C3380CC4-5D6E-409C-BE32-E72D297353CC}">
                <c16:uniqueId val="{00000005-CB76-4AB0-A3AE-248484583F80}"/>
              </c:ext>
            </c:extLst>
          </c:dPt>
          <c:dPt>
            <c:idx val="3"/>
            <c:bubble3D val="0"/>
            <c:spPr>
              <a:solidFill>
                <a:srgbClr val="000099"/>
              </a:solidFill>
              <a:ln w="19050">
                <a:noFill/>
              </a:ln>
              <a:effectLst/>
            </c:spPr>
            <c:extLst>
              <c:ext xmlns:c16="http://schemas.microsoft.com/office/drawing/2014/chart" uri="{C3380CC4-5D6E-409C-BE32-E72D297353CC}">
                <c16:uniqueId val="{00000007-CB76-4AB0-A3AE-248484583F80}"/>
              </c:ext>
            </c:extLst>
          </c:dPt>
          <c:dPt>
            <c:idx val="4"/>
            <c:bubble3D val="0"/>
            <c:spPr>
              <a:solidFill>
                <a:srgbClr val="000099"/>
              </a:solidFill>
              <a:ln w="19050">
                <a:noFill/>
              </a:ln>
              <a:effectLst/>
            </c:spPr>
            <c:extLst>
              <c:ext xmlns:c16="http://schemas.microsoft.com/office/drawing/2014/chart" uri="{C3380CC4-5D6E-409C-BE32-E72D297353CC}">
                <c16:uniqueId val="{00000009-CB76-4AB0-A3AE-248484583F80}"/>
              </c:ext>
            </c:extLst>
          </c:dPt>
          <c:dPt>
            <c:idx val="5"/>
            <c:bubble3D val="0"/>
            <c:spPr>
              <a:solidFill>
                <a:srgbClr val="000099"/>
              </a:solidFill>
              <a:ln w="19050">
                <a:noFill/>
              </a:ln>
              <a:effectLst/>
            </c:spPr>
            <c:extLst>
              <c:ext xmlns:c16="http://schemas.microsoft.com/office/drawing/2014/chart" uri="{C3380CC4-5D6E-409C-BE32-E72D297353CC}">
                <c16:uniqueId val="{0000000B-CB76-4AB0-A3AE-248484583F80}"/>
              </c:ext>
            </c:extLst>
          </c:dPt>
          <c:dPt>
            <c:idx val="6"/>
            <c:bubble3D val="0"/>
            <c:spPr>
              <a:solidFill>
                <a:srgbClr val="000099"/>
              </a:solidFill>
              <a:ln w="19050">
                <a:noFill/>
              </a:ln>
              <a:effectLst/>
            </c:spPr>
            <c:extLst>
              <c:ext xmlns:c16="http://schemas.microsoft.com/office/drawing/2014/chart" uri="{C3380CC4-5D6E-409C-BE32-E72D297353CC}">
                <c16:uniqueId val="{0000000D-CB76-4AB0-A3AE-248484583F80}"/>
              </c:ext>
            </c:extLst>
          </c:dPt>
          <c:dPt>
            <c:idx val="7"/>
            <c:bubble3D val="0"/>
            <c:spPr>
              <a:solidFill>
                <a:srgbClr val="000099"/>
              </a:solidFill>
              <a:ln w="19050">
                <a:noFill/>
              </a:ln>
              <a:effectLst/>
            </c:spPr>
            <c:extLst>
              <c:ext xmlns:c16="http://schemas.microsoft.com/office/drawing/2014/chart" uri="{C3380CC4-5D6E-409C-BE32-E72D297353CC}">
                <c16:uniqueId val="{0000000F-CB76-4AB0-A3AE-248484583F80}"/>
              </c:ext>
            </c:extLst>
          </c:dPt>
          <c:dPt>
            <c:idx val="8"/>
            <c:bubble3D val="0"/>
            <c:spPr>
              <a:solidFill>
                <a:srgbClr val="000099"/>
              </a:solidFill>
              <a:ln w="19050">
                <a:noFill/>
              </a:ln>
              <a:effectLst/>
            </c:spPr>
            <c:extLst>
              <c:ext xmlns:c16="http://schemas.microsoft.com/office/drawing/2014/chart" uri="{C3380CC4-5D6E-409C-BE32-E72D297353CC}">
                <c16:uniqueId val="{00000011-CB76-4AB0-A3AE-248484583F80}"/>
              </c:ext>
            </c:extLst>
          </c:dPt>
          <c:dPt>
            <c:idx val="9"/>
            <c:bubble3D val="0"/>
            <c:spPr>
              <a:solidFill>
                <a:srgbClr val="000099"/>
              </a:solidFill>
              <a:ln w="19050">
                <a:noFill/>
              </a:ln>
              <a:effectLst/>
            </c:spPr>
            <c:extLst>
              <c:ext xmlns:c16="http://schemas.microsoft.com/office/drawing/2014/chart" uri="{C3380CC4-5D6E-409C-BE32-E72D297353CC}">
                <c16:uniqueId val="{00000013-CB76-4AB0-A3AE-248484583F80}"/>
              </c:ext>
            </c:extLst>
          </c:dPt>
          <c:dPt>
            <c:idx val="10"/>
            <c:bubble3D val="0"/>
            <c:spPr>
              <a:solidFill>
                <a:srgbClr val="000099"/>
              </a:solidFill>
              <a:ln w="19050">
                <a:noFill/>
              </a:ln>
              <a:effectLst/>
            </c:spPr>
            <c:extLst>
              <c:ext xmlns:c16="http://schemas.microsoft.com/office/drawing/2014/chart" uri="{C3380CC4-5D6E-409C-BE32-E72D297353CC}">
                <c16:uniqueId val="{00000015-CB76-4AB0-A3AE-248484583F80}"/>
              </c:ext>
            </c:extLst>
          </c:dPt>
          <c:dPt>
            <c:idx val="11"/>
            <c:bubble3D val="0"/>
            <c:spPr>
              <a:solidFill>
                <a:srgbClr val="000099"/>
              </a:solidFill>
              <a:ln w="19050">
                <a:noFill/>
              </a:ln>
              <a:effectLst/>
            </c:spPr>
            <c:extLst>
              <c:ext xmlns:c16="http://schemas.microsoft.com/office/drawing/2014/chart" uri="{C3380CC4-5D6E-409C-BE32-E72D297353CC}">
                <c16:uniqueId val="{00000017-CB76-4AB0-A3AE-248484583F80}"/>
              </c:ext>
            </c:extLst>
          </c:dPt>
          <c:dPt>
            <c:idx val="12"/>
            <c:bubble3D val="0"/>
            <c:spPr>
              <a:solidFill>
                <a:srgbClr val="000099"/>
              </a:solidFill>
              <a:ln w="19050">
                <a:noFill/>
              </a:ln>
              <a:effectLst/>
            </c:spPr>
            <c:extLst>
              <c:ext xmlns:c16="http://schemas.microsoft.com/office/drawing/2014/chart" uri="{C3380CC4-5D6E-409C-BE32-E72D297353CC}">
                <c16:uniqueId val="{00000019-CB76-4AB0-A3AE-248484583F80}"/>
              </c:ext>
            </c:extLst>
          </c:dPt>
          <c:dPt>
            <c:idx val="13"/>
            <c:bubble3D val="0"/>
            <c:spPr>
              <a:solidFill>
                <a:srgbClr val="000099"/>
              </a:solidFill>
              <a:ln w="19050">
                <a:noFill/>
              </a:ln>
              <a:effectLst/>
            </c:spPr>
            <c:extLst>
              <c:ext xmlns:c16="http://schemas.microsoft.com/office/drawing/2014/chart" uri="{C3380CC4-5D6E-409C-BE32-E72D297353CC}">
                <c16:uniqueId val="{0000001B-CB76-4AB0-A3AE-248484583F80}"/>
              </c:ext>
            </c:extLst>
          </c:dPt>
          <c:dPt>
            <c:idx val="14"/>
            <c:bubble3D val="0"/>
            <c:spPr>
              <a:solidFill>
                <a:srgbClr val="000099"/>
              </a:solidFill>
              <a:ln w="19050">
                <a:noFill/>
              </a:ln>
              <a:effectLst/>
            </c:spPr>
            <c:extLst>
              <c:ext xmlns:c16="http://schemas.microsoft.com/office/drawing/2014/chart" uri="{C3380CC4-5D6E-409C-BE32-E72D297353CC}">
                <c16:uniqueId val="{0000001D-CB76-4AB0-A3AE-248484583F80}"/>
              </c:ext>
            </c:extLst>
          </c:dPt>
          <c:dPt>
            <c:idx val="15"/>
            <c:bubble3D val="0"/>
            <c:spPr>
              <a:solidFill>
                <a:srgbClr val="000099"/>
              </a:solidFill>
              <a:ln w="19050">
                <a:noFill/>
              </a:ln>
              <a:effectLst/>
            </c:spPr>
            <c:extLst>
              <c:ext xmlns:c16="http://schemas.microsoft.com/office/drawing/2014/chart" uri="{C3380CC4-5D6E-409C-BE32-E72D297353CC}">
                <c16:uniqueId val="{0000001F-CB76-4AB0-A3AE-248484583F80}"/>
              </c:ext>
            </c:extLst>
          </c:dPt>
          <c:dPt>
            <c:idx val="16"/>
            <c:bubble3D val="0"/>
            <c:spPr>
              <a:solidFill>
                <a:srgbClr val="000099"/>
              </a:solidFill>
              <a:ln w="19050">
                <a:noFill/>
              </a:ln>
              <a:effectLst/>
            </c:spPr>
            <c:extLst>
              <c:ext xmlns:c16="http://schemas.microsoft.com/office/drawing/2014/chart" uri="{C3380CC4-5D6E-409C-BE32-E72D297353CC}">
                <c16:uniqueId val="{00000021-CB76-4AB0-A3AE-248484583F80}"/>
              </c:ext>
            </c:extLst>
          </c:dPt>
          <c:dPt>
            <c:idx val="17"/>
            <c:bubble3D val="0"/>
            <c:spPr>
              <a:solidFill>
                <a:srgbClr val="000099"/>
              </a:solidFill>
              <a:ln w="19050">
                <a:noFill/>
              </a:ln>
              <a:effectLst/>
            </c:spPr>
            <c:extLst>
              <c:ext xmlns:c16="http://schemas.microsoft.com/office/drawing/2014/chart" uri="{C3380CC4-5D6E-409C-BE32-E72D297353CC}">
                <c16:uniqueId val="{00000023-CB76-4AB0-A3AE-248484583F80}"/>
              </c:ext>
            </c:extLst>
          </c:dPt>
          <c:dPt>
            <c:idx val="18"/>
            <c:bubble3D val="0"/>
            <c:spPr>
              <a:solidFill>
                <a:srgbClr val="000099"/>
              </a:solidFill>
              <a:ln w="19050">
                <a:noFill/>
              </a:ln>
              <a:effectLst/>
            </c:spPr>
            <c:extLst>
              <c:ext xmlns:c16="http://schemas.microsoft.com/office/drawing/2014/chart" uri="{C3380CC4-5D6E-409C-BE32-E72D297353CC}">
                <c16:uniqueId val="{00000025-CB76-4AB0-A3AE-248484583F80}"/>
              </c:ext>
            </c:extLst>
          </c:dPt>
          <c:dPt>
            <c:idx val="19"/>
            <c:bubble3D val="0"/>
            <c:spPr>
              <a:solidFill>
                <a:srgbClr val="000099"/>
              </a:solidFill>
              <a:ln w="19050">
                <a:noFill/>
              </a:ln>
              <a:effectLst/>
            </c:spPr>
            <c:extLst>
              <c:ext xmlns:c16="http://schemas.microsoft.com/office/drawing/2014/chart" uri="{C3380CC4-5D6E-409C-BE32-E72D297353CC}">
                <c16:uniqueId val="{00000027-CB76-4AB0-A3AE-248484583F80}"/>
              </c:ext>
            </c:extLst>
          </c:dPt>
          <c:dPt>
            <c:idx val="20"/>
            <c:bubble3D val="0"/>
            <c:spPr>
              <a:solidFill>
                <a:srgbClr val="000099"/>
              </a:solidFill>
              <a:ln w="19050">
                <a:noFill/>
              </a:ln>
              <a:effectLst/>
            </c:spPr>
            <c:extLst>
              <c:ext xmlns:c16="http://schemas.microsoft.com/office/drawing/2014/chart" uri="{C3380CC4-5D6E-409C-BE32-E72D297353CC}">
                <c16:uniqueId val="{00000029-CB76-4AB0-A3AE-248484583F80}"/>
              </c:ext>
            </c:extLst>
          </c:dPt>
          <c:dPt>
            <c:idx val="21"/>
            <c:bubble3D val="0"/>
            <c:spPr>
              <a:solidFill>
                <a:srgbClr val="000099"/>
              </a:solidFill>
              <a:ln w="19050">
                <a:noFill/>
              </a:ln>
              <a:effectLst/>
            </c:spPr>
            <c:extLst>
              <c:ext xmlns:c16="http://schemas.microsoft.com/office/drawing/2014/chart" uri="{C3380CC4-5D6E-409C-BE32-E72D297353CC}">
                <c16:uniqueId val="{0000002B-CB76-4AB0-A3AE-248484583F80}"/>
              </c:ext>
            </c:extLst>
          </c:dPt>
          <c:dPt>
            <c:idx val="22"/>
            <c:bubble3D val="0"/>
            <c:spPr>
              <a:solidFill>
                <a:srgbClr val="000099"/>
              </a:solidFill>
              <a:ln w="19050">
                <a:noFill/>
              </a:ln>
              <a:effectLst/>
            </c:spPr>
            <c:extLst>
              <c:ext xmlns:c16="http://schemas.microsoft.com/office/drawing/2014/chart" uri="{C3380CC4-5D6E-409C-BE32-E72D297353CC}">
                <c16:uniqueId val="{0000002D-CB76-4AB0-A3AE-248484583F80}"/>
              </c:ext>
            </c:extLst>
          </c:dPt>
          <c:dPt>
            <c:idx val="23"/>
            <c:bubble3D val="0"/>
            <c:spPr>
              <a:solidFill>
                <a:srgbClr val="000099"/>
              </a:solidFill>
              <a:ln w="19050">
                <a:noFill/>
              </a:ln>
              <a:effectLst/>
            </c:spPr>
            <c:extLst>
              <c:ext xmlns:c16="http://schemas.microsoft.com/office/drawing/2014/chart" uri="{C3380CC4-5D6E-409C-BE32-E72D297353CC}">
                <c16:uniqueId val="{0000002F-CB76-4AB0-A3AE-248484583F80}"/>
              </c:ext>
            </c:extLst>
          </c:dPt>
          <c:val>
            <c:numLit>
              <c:formatCode>General</c:formatCode>
              <c:ptCount val="24"/>
              <c:pt idx="0">
                <c:v>1</c:v>
              </c:pt>
              <c:pt idx="1">
                <c:v>1</c:v>
              </c:pt>
              <c:pt idx="2">
                <c:v>1</c:v>
              </c:pt>
              <c:pt idx="3">
                <c:v>1</c:v>
              </c:pt>
              <c:pt idx="4">
                <c:v>1.1000000000000001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Lit>
          </c:val>
          <c:extLst>
            <c:ext xmlns:c16="http://schemas.microsoft.com/office/drawing/2014/chart" uri="{C3380CC4-5D6E-409C-BE32-E72D297353CC}">
              <c16:uniqueId val="{00000030-CB76-4AB0-A3AE-248484583F80}"/>
            </c:ext>
          </c:extLst>
        </c:ser>
        <c:dLbls>
          <c:showLegendKey val="0"/>
          <c:showVal val="0"/>
          <c:showCatName val="0"/>
          <c:showSerName val="0"/>
          <c:showPercent val="0"/>
          <c:showBubbleSize val="0"/>
          <c:showLeaderLines val="1"/>
        </c:dLbls>
        <c:firstSliceAng val="0"/>
        <c:holeSize val="70"/>
      </c:doughnutChart>
      <c:doughnutChart>
        <c:varyColors val="1"/>
        <c:ser>
          <c:idx val="1"/>
          <c:order val="1"/>
          <c:tx>
            <c:v>ADHOC</c:v>
          </c:tx>
          <c:spPr>
            <a:solidFill>
              <a:schemeClr val="tx2">
                <a:lumMod val="75000"/>
                <a:alpha val="62000"/>
              </a:schemeClr>
            </a:solidFill>
            <a:ln>
              <a:noFill/>
            </a:ln>
          </c:spPr>
          <c:dPt>
            <c:idx val="0"/>
            <c:bubble3D val="0"/>
            <c:spPr>
              <a:noFill/>
              <a:ln w="19050">
                <a:noFill/>
              </a:ln>
              <a:effectLst/>
            </c:spPr>
            <c:extLst>
              <c:ext xmlns:c16="http://schemas.microsoft.com/office/drawing/2014/chart" uri="{C3380CC4-5D6E-409C-BE32-E72D297353CC}">
                <c16:uniqueId val="{00000037-CB76-4AB0-A3AE-248484583F80}"/>
              </c:ext>
            </c:extLst>
          </c:dPt>
          <c:dPt>
            <c:idx val="1"/>
            <c:bubble3D val="0"/>
            <c:spPr>
              <a:solidFill>
                <a:srgbClr val="0070C0">
                  <a:alpha val="61000"/>
                </a:srgbClr>
              </a:solidFill>
              <a:ln w="19050">
                <a:noFill/>
              </a:ln>
              <a:effectLst/>
            </c:spPr>
            <c:extLst>
              <c:ext xmlns:c16="http://schemas.microsoft.com/office/drawing/2014/chart" uri="{C3380CC4-5D6E-409C-BE32-E72D297353CC}">
                <c16:uniqueId val="{00000038-CB76-4AB0-A3AE-248484583F80}"/>
              </c:ext>
            </c:extLst>
          </c:dPt>
          <c:val>
            <c:numRef>
              <c:f>Analysis!$Y$17:$Z$17</c:f>
              <c:numCache>
                <c:formatCode>0%</c:formatCode>
                <c:ptCount val="2"/>
                <c:pt idx="0">
                  <c:v>1</c:v>
                </c:pt>
                <c:pt idx="1">
                  <c:v>0</c:v>
                </c:pt>
              </c:numCache>
            </c:numRef>
          </c:val>
          <c:extLst>
            <c:ext xmlns:c16="http://schemas.microsoft.com/office/drawing/2014/chart" uri="{C3380CC4-5D6E-409C-BE32-E72D297353CC}">
              <c16:uniqueId val="{00000036-CB76-4AB0-A3AE-248484583F80}"/>
            </c:ext>
          </c:extLst>
        </c:ser>
        <c:dLbls>
          <c:showLegendKey val="0"/>
          <c:showVal val="0"/>
          <c:showCatName val="0"/>
          <c:showSerName val="0"/>
          <c:showPercent val="0"/>
          <c:showBubbleSize val="0"/>
          <c:showLeaderLines val="1"/>
        </c:dLbls>
        <c:firstSliceAng val="0"/>
        <c:holeSize val="7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board!A1"/><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board!A1"/><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Dashboard!A1"/><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502920</xdr:colOff>
      <xdr:row>0</xdr:row>
      <xdr:rowOff>55245</xdr:rowOff>
    </xdr:from>
    <xdr:to>
      <xdr:col>4</xdr:col>
      <xdr:colOff>144780</xdr:colOff>
      <xdr:row>0</xdr:row>
      <xdr:rowOff>367665</xdr:rowOff>
    </xdr:to>
    <xdr:sp macro="[0]!Hide_Col" textlink="">
      <xdr:nvSpPr>
        <xdr:cNvPr id="29" name="HIDE_PROFILE" hidden="1">
          <a:extLst>
            <a:ext uri="{FF2B5EF4-FFF2-40B4-BE49-F238E27FC236}">
              <a16:creationId xmlns:a16="http://schemas.microsoft.com/office/drawing/2014/main" id="{FDE8E7B9-D759-42A7-A8C6-0E955C70D631}"/>
            </a:ext>
          </a:extLst>
        </xdr:cNvPr>
        <xdr:cNvSpPr/>
      </xdr:nvSpPr>
      <xdr:spPr>
        <a:xfrm>
          <a:off x="502920" y="55245"/>
          <a:ext cx="1325880" cy="312420"/>
        </a:xfrm>
        <a:prstGeom prst="roundRect">
          <a:avLst/>
        </a:prstGeom>
        <a:solidFill>
          <a:schemeClr val="tx2">
            <a:lumMod val="50000"/>
          </a:schemeClr>
        </a:solidFill>
        <a:effectLst>
          <a:reflection stA="45000" endPos="37000" dir="5400000" sy="-100000" algn="bl" rotWithShape="0"/>
        </a:effectLst>
        <a:scene3d>
          <a:camera prst="orthographicFront"/>
          <a:lightRig rig="threePt" dir="t"/>
        </a:scene3d>
        <a:sp3d>
          <a:bevelT/>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a:t>CLOSE PROFILE</a:t>
          </a:r>
        </a:p>
      </xdr:txBody>
    </xdr:sp>
    <xdr:clientData/>
  </xdr:twoCellAnchor>
  <xdr:twoCellAnchor editAs="oneCell">
    <xdr:from>
      <xdr:col>2</xdr:col>
      <xdr:colOff>510540</xdr:colOff>
      <xdr:row>0</xdr:row>
      <xdr:rowOff>632460</xdr:rowOff>
    </xdr:from>
    <xdr:to>
      <xdr:col>27</xdr:col>
      <xdr:colOff>196415</xdr:colOff>
      <xdr:row>47</xdr:row>
      <xdr:rowOff>99097</xdr:rowOff>
    </xdr:to>
    <xdr:grpSp>
      <xdr:nvGrpSpPr>
        <xdr:cNvPr id="8" name="Group 7">
          <a:extLst>
            <a:ext uri="{FF2B5EF4-FFF2-40B4-BE49-F238E27FC236}">
              <a16:creationId xmlns:a16="http://schemas.microsoft.com/office/drawing/2014/main" id="{9CC642B4-AF33-E427-C141-E0C84BDBC5E4}"/>
            </a:ext>
          </a:extLst>
        </xdr:cNvPr>
        <xdr:cNvGrpSpPr/>
      </xdr:nvGrpSpPr>
      <xdr:grpSpPr>
        <a:xfrm>
          <a:off x="510540" y="632460"/>
          <a:ext cx="15455264" cy="8610637"/>
          <a:chOff x="510540" y="632460"/>
          <a:chExt cx="14986033" cy="8881348"/>
        </a:xfrm>
      </xdr:grpSpPr>
      <xdr:grpSp>
        <xdr:nvGrpSpPr>
          <xdr:cNvPr id="37" name="Group 36">
            <a:extLst>
              <a:ext uri="{FF2B5EF4-FFF2-40B4-BE49-F238E27FC236}">
                <a16:creationId xmlns:a16="http://schemas.microsoft.com/office/drawing/2014/main" id="{4D8F0DB0-D782-4C14-9084-2839D9834BE1}"/>
              </a:ext>
            </a:extLst>
          </xdr:cNvPr>
          <xdr:cNvGrpSpPr/>
        </xdr:nvGrpSpPr>
        <xdr:grpSpPr>
          <a:xfrm>
            <a:off x="673090" y="6103981"/>
            <a:ext cx="14823483" cy="374680"/>
            <a:chOff x="361951" y="627079"/>
            <a:chExt cx="6400800" cy="352425"/>
          </a:xfrm>
        </xdr:grpSpPr>
        <xdr:sp macro="" textlink="">
          <xdr:nvSpPr>
            <xdr:cNvPr id="38" name="Rectangle 37">
              <a:extLst>
                <a:ext uri="{FF2B5EF4-FFF2-40B4-BE49-F238E27FC236}">
                  <a16:creationId xmlns:a16="http://schemas.microsoft.com/office/drawing/2014/main" id="{ACC320FE-060F-E2C5-7F80-897B8D6006B0}"/>
                </a:ext>
              </a:extLst>
            </xdr:cNvPr>
            <xdr:cNvSpPr/>
          </xdr:nvSpPr>
          <xdr:spPr>
            <a:xfrm>
              <a:off x="361951" y="634699"/>
              <a:ext cx="6400800" cy="337185"/>
            </a:xfrm>
            <a:prstGeom prst="rect">
              <a:avLst/>
            </a:prstGeom>
            <a:solidFill>
              <a:schemeClr val="tx1"/>
            </a:solidFill>
            <a:effectLst>
              <a:innerShdw blurRad="114300">
                <a:prstClr val="black"/>
              </a:inn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2DA62567-DEF2-7240-99A6-370F185A950D}"/>
                </a:ext>
              </a:extLst>
            </xdr:cNvPr>
            <xdr:cNvSpPr txBox="1"/>
          </xdr:nvSpPr>
          <xdr:spPr>
            <a:xfrm>
              <a:off x="2395539" y="627079"/>
              <a:ext cx="23336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baseline="0">
                  <a:solidFill>
                    <a:schemeClr val="bg1"/>
                  </a:solidFill>
                </a:rPr>
                <a:t>SALES</a:t>
              </a:r>
              <a:endParaRPr lang="en-US" sz="1800" b="1">
                <a:solidFill>
                  <a:schemeClr val="bg1"/>
                </a:solidFill>
              </a:endParaRPr>
            </a:p>
          </xdr:txBody>
        </xdr:sp>
      </xdr:grpSp>
      <xdr:grpSp>
        <xdr:nvGrpSpPr>
          <xdr:cNvPr id="130" name="Group 129">
            <a:extLst>
              <a:ext uri="{FF2B5EF4-FFF2-40B4-BE49-F238E27FC236}">
                <a16:creationId xmlns:a16="http://schemas.microsoft.com/office/drawing/2014/main" id="{B024A965-6645-4510-98D0-BA7B02079059}"/>
              </a:ext>
            </a:extLst>
          </xdr:cNvPr>
          <xdr:cNvGrpSpPr/>
        </xdr:nvGrpSpPr>
        <xdr:grpSpPr>
          <a:xfrm>
            <a:off x="517929" y="632460"/>
            <a:ext cx="14949090" cy="1538000"/>
            <a:chOff x="3009900" y="632460"/>
            <a:chExt cx="15417165" cy="1477925"/>
          </a:xfrm>
        </xdr:grpSpPr>
        <xdr:grpSp>
          <xdr:nvGrpSpPr>
            <xdr:cNvPr id="30" name="Group 29">
              <a:extLst>
                <a:ext uri="{FF2B5EF4-FFF2-40B4-BE49-F238E27FC236}">
                  <a16:creationId xmlns:a16="http://schemas.microsoft.com/office/drawing/2014/main" id="{11D0A004-C378-43DF-BF25-60F94F28A437}"/>
                </a:ext>
              </a:extLst>
            </xdr:cNvPr>
            <xdr:cNvGrpSpPr/>
          </xdr:nvGrpSpPr>
          <xdr:grpSpPr>
            <a:xfrm>
              <a:off x="3169920" y="1744980"/>
              <a:ext cx="15257145" cy="365405"/>
              <a:chOff x="7202806" y="628426"/>
              <a:chExt cx="6400800" cy="351758"/>
            </a:xfrm>
          </xdr:grpSpPr>
          <xdr:sp macro="" textlink="">
            <xdr:nvSpPr>
              <xdr:cNvPr id="31" name="Rectangle 30">
                <a:extLst>
                  <a:ext uri="{FF2B5EF4-FFF2-40B4-BE49-F238E27FC236}">
                    <a16:creationId xmlns:a16="http://schemas.microsoft.com/office/drawing/2014/main" id="{1B1E9550-4D2E-8AE6-A0BD-C955262727B9}"/>
                  </a:ext>
                </a:extLst>
              </xdr:cNvPr>
              <xdr:cNvSpPr/>
            </xdr:nvSpPr>
            <xdr:spPr>
              <a:xfrm>
                <a:off x="7202806" y="636313"/>
                <a:ext cx="6400800" cy="336847"/>
              </a:xfrm>
              <a:prstGeom prst="rect">
                <a:avLst/>
              </a:prstGeom>
              <a:solidFill>
                <a:schemeClr val="tx1"/>
              </a:solidFill>
              <a:effectLst>
                <a:innerShdw blurRad="114300">
                  <a:prstClr val="black"/>
                </a:inn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AE6EF58C-81E8-3728-12F6-DAE22A619631}"/>
                  </a:ext>
                </a:extLst>
              </xdr:cNvPr>
              <xdr:cNvSpPr txBox="1"/>
            </xdr:nvSpPr>
            <xdr:spPr>
              <a:xfrm>
                <a:off x="9238299" y="628426"/>
                <a:ext cx="2333625" cy="351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baseline="0">
                    <a:solidFill>
                      <a:schemeClr val="bg1"/>
                    </a:solidFill>
                  </a:rPr>
                  <a:t>PIPELINE</a:t>
                </a:r>
                <a:endParaRPr lang="en-US" sz="1800" b="1">
                  <a:solidFill>
                    <a:schemeClr val="bg1"/>
                  </a:solidFill>
                </a:endParaRPr>
              </a:p>
            </xdr:txBody>
          </xdr:sp>
        </xdr:grpSp>
        <xdr:grpSp>
          <xdr:nvGrpSpPr>
            <xdr:cNvPr id="129" name="Group 128">
              <a:extLst>
                <a:ext uri="{FF2B5EF4-FFF2-40B4-BE49-F238E27FC236}">
                  <a16:creationId xmlns:a16="http://schemas.microsoft.com/office/drawing/2014/main" id="{A77F37E9-A824-E070-C96E-DC919ECFBB9E}"/>
                </a:ext>
              </a:extLst>
            </xdr:cNvPr>
            <xdr:cNvGrpSpPr/>
          </xdr:nvGrpSpPr>
          <xdr:grpSpPr>
            <a:xfrm>
              <a:off x="3009900" y="632460"/>
              <a:ext cx="15416824" cy="1158240"/>
              <a:chOff x="3009900" y="632460"/>
              <a:chExt cx="15416824" cy="1158240"/>
            </a:xfrm>
          </xdr:grpSpPr>
          <xdr:sp macro="" textlink="">
            <xdr:nvSpPr>
              <xdr:cNvPr id="11" name="Rectangle 10">
                <a:extLst>
                  <a:ext uri="{FF2B5EF4-FFF2-40B4-BE49-F238E27FC236}">
                    <a16:creationId xmlns:a16="http://schemas.microsoft.com/office/drawing/2014/main" id="{E802E55B-DCE3-DB75-0167-25F4D6379F99}"/>
                  </a:ext>
                </a:extLst>
              </xdr:cNvPr>
              <xdr:cNvSpPr/>
            </xdr:nvSpPr>
            <xdr:spPr>
              <a:xfrm>
                <a:off x="3181349" y="632460"/>
                <a:ext cx="15240000" cy="1048506"/>
              </a:xfrm>
              <a:prstGeom prst="rect">
                <a:avLst/>
              </a:prstGeom>
              <a:gradFill>
                <a:gsLst>
                  <a:gs pos="100000">
                    <a:schemeClr val="tx2">
                      <a:lumMod val="60000"/>
                      <a:lumOff val="40000"/>
                    </a:schemeClr>
                  </a:gs>
                  <a:gs pos="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800" b="1">
                  <a:solidFill>
                    <a:schemeClr val="bg1"/>
                  </a:solidFill>
                  <a:latin typeface="+mn-lt"/>
                </a:endParaRPr>
              </a:p>
            </xdr:txBody>
          </xdr:sp>
          <xdr:sp macro="" textlink="">
            <xdr:nvSpPr>
              <xdr:cNvPr id="16" name="TextBox 15">
                <a:extLst>
                  <a:ext uri="{FF2B5EF4-FFF2-40B4-BE49-F238E27FC236}">
                    <a16:creationId xmlns:a16="http://schemas.microsoft.com/office/drawing/2014/main" id="{ADB5E490-BAEB-F8AF-4512-BB7BAF840300}"/>
                  </a:ext>
                </a:extLst>
              </xdr:cNvPr>
              <xdr:cNvSpPr txBox="1"/>
            </xdr:nvSpPr>
            <xdr:spPr>
              <a:xfrm>
                <a:off x="13850483" y="1407395"/>
                <a:ext cx="2069002" cy="153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mn-lt"/>
                  </a:rPr>
                  <a:t>TARGET</a:t>
                </a:r>
              </a:p>
            </xdr:txBody>
          </xdr:sp>
          <xdr:sp macro="" textlink="">
            <xdr:nvSpPr>
              <xdr:cNvPr id="17" name="TextBox 16">
                <a:extLst>
                  <a:ext uri="{FF2B5EF4-FFF2-40B4-BE49-F238E27FC236}">
                    <a16:creationId xmlns:a16="http://schemas.microsoft.com/office/drawing/2014/main" id="{2968AA54-DFB6-429D-C08D-A963A1F4E922}"/>
                  </a:ext>
                </a:extLst>
              </xdr:cNvPr>
              <xdr:cNvSpPr txBox="1"/>
            </xdr:nvSpPr>
            <xdr:spPr>
              <a:xfrm>
                <a:off x="14135660" y="1123280"/>
                <a:ext cx="1356455" cy="26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latin typeface="+mn-lt"/>
                  </a:rPr>
                  <a:t>SALES</a:t>
                </a:r>
              </a:p>
            </xdr:txBody>
          </xdr:sp>
          <xdr:sp macro="" textlink="Analysis!B30">
            <xdr:nvSpPr>
              <xdr:cNvPr id="19" name="TextBox 18">
                <a:extLst>
                  <a:ext uri="{FF2B5EF4-FFF2-40B4-BE49-F238E27FC236}">
                    <a16:creationId xmlns:a16="http://schemas.microsoft.com/office/drawing/2014/main" id="{E2B19EA2-8456-49C3-B341-56B9F612EB95}"/>
                  </a:ext>
                </a:extLst>
              </xdr:cNvPr>
              <xdr:cNvSpPr txBox="1"/>
            </xdr:nvSpPr>
            <xdr:spPr>
              <a:xfrm>
                <a:off x="11510597" y="1034731"/>
                <a:ext cx="1591992" cy="415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628682-20F2-4AA0-A1AA-FF5183C35ED8}" type="TxLink">
                  <a:rPr lang="en-US" sz="2000" b="0" i="0" u="none" strike="noStrike">
                    <a:solidFill>
                      <a:schemeClr val="bg1"/>
                    </a:solidFill>
                    <a:latin typeface="Calibri"/>
                    <a:ea typeface="Calibri"/>
                    <a:cs typeface="Calibri"/>
                  </a:rPr>
                  <a:pPr marL="0" indent="0" algn="ctr"/>
                  <a:t>$658,363</a:t>
                </a:fld>
                <a:endParaRPr lang="en-US" sz="2000" b="0" i="0" u="none" strike="noStrike">
                  <a:solidFill>
                    <a:schemeClr val="bg1"/>
                  </a:solidFill>
                  <a:latin typeface="Calibri"/>
                  <a:ea typeface="Calibri"/>
                  <a:cs typeface="Calibri"/>
                </a:endParaRPr>
              </a:p>
            </xdr:txBody>
          </xdr:sp>
          <xdr:sp macro="" textlink="Analysis!B28">
            <xdr:nvSpPr>
              <xdr:cNvPr id="20" name="TextBox 19">
                <a:extLst>
                  <a:ext uri="{FF2B5EF4-FFF2-40B4-BE49-F238E27FC236}">
                    <a16:creationId xmlns:a16="http://schemas.microsoft.com/office/drawing/2014/main" id="{3330B6F9-5BEE-40C7-864C-CE6A38A03BB1}"/>
                  </a:ext>
                </a:extLst>
              </xdr:cNvPr>
              <xdr:cNvSpPr txBox="1"/>
            </xdr:nvSpPr>
            <xdr:spPr>
              <a:xfrm>
                <a:off x="6711902" y="987106"/>
                <a:ext cx="1214802"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FFBC39-80B4-4D6C-B7D4-6598AB9409A8}" type="TxLink">
                  <a:rPr lang="en-US" sz="2000" b="0" i="0" u="none" strike="noStrike">
                    <a:solidFill>
                      <a:schemeClr val="bg1"/>
                    </a:solidFill>
                    <a:latin typeface="Calibri"/>
                    <a:ea typeface="Calibri"/>
                    <a:cs typeface="Calibri"/>
                  </a:rPr>
                  <a:pPr marL="0" indent="0" algn="ctr"/>
                  <a:t>$146,317</a:t>
                </a:fld>
                <a:endParaRPr lang="en-US" sz="2000" b="0" i="0" u="none" strike="noStrike">
                  <a:solidFill>
                    <a:schemeClr val="bg1"/>
                  </a:solidFill>
                  <a:latin typeface="Calibri"/>
                  <a:ea typeface="Calibri"/>
                  <a:cs typeface="Calibri"/>
                </a:endParaRPr>
              </a:p>
            </xdr:txBody>
          </xdr:sp>
          <xdr:sp macro="" textlink="Analysis!B27">
            <xdr:nvSpPr>
              <xdr:cNvPr id="21" name="TextBox 20">
                <a:extLst>
                  <a:ext uri="{FF2B5EF4-FFF2-40B4-BE49-F238E27FC236}">
                    <a16:creationId xmlns:a16="http://schemas.microsoft.com/office/drawing/2014/main" id="{FD70CE4A-4C85-4816-9AEC-D6F4ACD7E334}"/>
                  </a:ext>
                </a:extLst>
              </xdr:cNvPr>
              <xdr:cNvSpPr txBox="1"/>
            </xdr:nvSpPr>
            <xdr:spPr>
              <a:xfrm>
                <a:off x="4022042" y="817878"/>
                <a:ext cx="1224327" cy="848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4D99DC8-430C-4AE4-B38D-A4D4F35B53E8}" type="TxLink">
                  <a:rPr lang="en-US" sz="2000" b="0" i="0" u="none" strike="noStrike">
                    <a:solidFill>
                      <a:schemeClr val="bg1"/>
                    </a:solidFill>
                    <a:latin typeface="Calibri"/>
                    <a:ea typeface="Calibri"/>
                    <a:cs typeface="Calibri"/>
                  </a:rPr>
                  <a:pPr marL="0" indent="0" algn="ctr"/>
                  <a:t>$80,000</a:t>
                </a:fld>
                <a:endParaRPr lang="en-US" sz="2000" b="0" i="0" u="none" strike="noStrike">
                  <a:solidFill>
                    <a:schemeClr val="bg1"/>
                  </a:solidFill>
                  <a:latin typeface="Calibri"/>
                  <a:ea typeface="Calibri"/>
                  <a:cs typeface="Calibri"/>
                </a:endParaRPr>
              </a:p>
            </xdr:txBody>
          </xdr:sp>
          <xdr:grpSp>
            <xdr:nvGrpSpPr>
              <xdr:cNvPr id="94" name="Group 93">
                <a:extLst>
                  <a:ext uri="{FF2B5EF4-FFF2-40B4-BE49-F238E27FC236}">
                    <a16:creationId xmlns:a16="http://schemas.microsoft.com/office/drawing/2014/main" id="{6C6F660E-FFEC-AF2C-AEAE-D5030CA5CF08}"/>
                  </a:ext>
                </a:extLst>
              </xdr:cNvPr>
              <xdr:cNvGrpSpPr/>
            </xdr:nvGrpSpPr>
            <xdr:grpSpPr>
              <a:xfrm>
                <a:off x="3490480" y="776287"/>
                <a:ext cx="14741539" cy="306704"/>
                <a:chOff x="3490480" y="776287"/>
                <a:chExt cx="14741539" cy="306704"/>
              </a:xfrm>
            </xdr:grpSpPr>
            <xdr:sp macro="" textlink="Analysis!A27">
              <xdr:nvSpPr>
                <xdr:cNvPr id="12" name="TextBox 11">
                  <a:extLst>
                    <a:ext uri="{FF2B5EF4-FFF2-40B4-BE49-F238E27FC236}">
                      <a16:creationId xmlns:a16="http://schemas.microsoft.com/office/drawing/2014/main" id="{C4C20D19-16E2-EBAA-9A35-D14E751135A8}"/>
                    </a:ext>
                  </a:extLst>
                </xdr:cNvPr>
                <xdr:cNvSpPr txBox="1"/>
              </xdr:nvSpPr>
              <xdr:spPr>
                <a:xfrm>
                  <a:off x="3490480" y="795905"/>
                  <a:ext cx="2390255" cy="267468"/>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BA52FE-AD87-4D91-82A5-60BF619D7379}" type="TxLink">
                    <a:rPr lang="en-US" sz="1800" b="1">
                      <a:solidFill>
                        <a:schemeClr val="bg1"/>
                      </a:solidFill>
                      <a:latin typeface="+mn-lt"/>
                      <a:ea typeface="+mn-ea"/>
                      <a:cs typeface="+mn-cs"/>
                    </a:rPr>
                    <a:pPr marL="0" indent="0" algn="ctr"/>
                    <a:t>SEPTEMBER TARGET</a:t>
                  </a:fld>
                  <a:endParaRPr lang="en-US" sz="1800" b="1">
                    <a:solidFill>
                      <a:schemeClr val="bg1"/>
                    </a:solidFill>
                    <a:latin typeface="+mn-lt"/>
                    <a:ea typeface="+mn-ea"/>
                    <a:cs typeface="+mn-cs"/>
                  </a:endParaRPr>
                </a:p>
              </xdr:txBody>
            </xdr:sp>
            <xdr:sp macro="" textlink="Analysis!A28">
              <xdr:nvSpPr>
                <xdr:cNvPr id="13" name="TextBox 12">
                  <a:extLst>
                    <a:ext uri="{FF2B5EF4-FFF2-40B4-BE49-F238E27FC236}">
                      <a16:creationId xmlns:a16="http://schemas.microsoft.com/office/drawing/2014/main" id="{34C20929-5573-BCFE-4621-AFE29DDFBB49}"/>
                    </a:ext>
                  </a:extLst>
                </xdr:cNvPr>
                <xdr:cNvSpPr txBox="1"/>
              </xdr:nvSpPr>
              <xdr:spPr>
                <a:xfrm>
                  <a:off x="6305966" y="787834"/>
                  <a:ext cx="2028826" cy="283611"/>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F63046-BF31-400D-BCB6-EB5056843E8D}" type="TxLink">
                    <a:rPr lang="en-US" sz="1800" b="1" i="0" u="none" strike="noStrike">
                      <a:solidFill>
                        <a:schemeClr val="bg1"/>
                      </a:solidFill>
                      <a:latin typeface="+mn-lt"/>
                      <a:ea typeface="Calibri"/>
                      <a:cs typeface="Calibri"/>
                    </a:rPr>
                    <a:pPr marL="0" indent="0" algn="ctr"/>
                    <a:t>SEPTEMBER WINS</a:t>
                  </a:fld>
                  <a:endParaRPr lang="en-US" sz="1800" b="1">
                    <a:solidFill>
                      <a:schemeClr val="bg1"/>
                    </a:solidFill>
                    <a:latin typeface="+mn-lt"/>
                    <a:ea typeface="+mn-ea"/>
                    <a:cs typeface="+mn-cs"/>
                  </a:endParaRPr>
                </a:p>
              </xdr:txBody>
            </xdr:sp>
            <xdr:sp macro="" textlink="">
              <xdr:nvSpPr>
                <xdr:cNvPr id="14" name="TextBox 13">
                  <a:extLst>
                    <a:ext uri="{FF2B5EF4-FFF2-40B4-BE49-F238E27FC236}">
                      <a16:creationId xmlns:a16="http://schemas.microsoft.com/office/drawing/2014/main" id="{5E047768-7542-206B-9046-26373BD27DDF}"/>
                    </a:ext>
                  </a:extLst>
                </xdr:cNvPr>
                <xdr:cNvSpPr txBox="1"/>
              </xdr:nvSpPr>
              <xdr:spPr>
                <a:xfrm>
                  <a:off x="13605509" y="804806"/>
                  <a:ext cx="4626510" cy="249667"/>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baseline="0">
                      <a:solidFill>
                        <a:schemeClr val="bg1"/>
                      </a:solidFill>
                      <a:latin typeface="+mn-lt"/>
                      <a:ea typeface="+mn-ea"/>
                      <a:cs typeface="+mn-cs"/>
                    </a:rPr>
                    <a:t>COMBINED TARGET</a:t>
                  </a:r>
                  <a:endParaRPr lang="en-US" sz="1800" b="1">
                    <a:solidFill>
                      <a:schemeClr val="bg1"/>
                    </a:solidFill>
                    <a:latin typeface="+mn-lt"/>
                    <a:ea typeface="+mn-ea"/>
                    <a:cs typeface="+mn-cs"/>
                  </a:endParaRPr>
                </a:p>
              </xdr:txBody>
            </xdr:sp>
            <xdr:sp macro="" textlink="">
              <xdr:nvSpPr>
                <xdr:cNvPr id="18" name="TextBox 17">
                  <a:extLst>
                    <a:ext uri="{FF2B5EF4-FFF2-40B4-BE49-F238E27FC236}">
                      <a16:creationId xmlns:a16="http://schemas.microsoft.com/office/drawing/2014/main" id="{1D9F4F61-7C85-4636-B7C6-CB8358712697}"/>
                    </a:ext>
                  </a:extLst>
                </xdr:cNvPr>
                <xdr:cNvSpPr txBox="1"/>
              </xdr:nvSpPr>
              <xdr:spPr>
                <a:xfrm>
                  <a:off x="11465539" y="776287"/>
                  <a:ext cx="1784488" cy="306704"/>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mn-lt"/>
                      <a:ea typeface="+mn-ea"/>
                      <a:cs typeface="+mn-cs"/>
                    </a:rPr>
                    <a:t>TOTAL</a:t>
                  </a:r>
                  <a:r>
                    <a:rPr lang="en-US" sz="1800" b="1" baseline="0">
                      <a:solidFill>
                        <a:schemeClr val="bg1"/>
                      </a:solidFill>
                      <a:latin typeface="+mn-lt"/>
                      <a:ea typeface="+mn-ea"/>
                      <a:cs typeface="+mn-cs"/>
                    </a:rPr>
                    <a:t> PIPELINE</a:t>
                  </a:r>
                  <a:endParaRPr lang="en-US" sz="1800" b="1">
                    <a:solidFill>
                      <a:schemeClr val="bg1"/>
                    </a:solidFill>
                    <a:latin typeface="+mn-lt"/>
                    <a:ea typeface="+mn-ea"/>
                    <a:cs typeface="+mn-cs"/>
                  </a:endParaRPr>
                </a:p>
              </xdr:txBody>
            </xdr:sp>
            <xdr:sp macro="" textlink="Analysis!A29">
              <xdr:nvSpPr>
                <xdr:cNvPr id="22" name="TextBox 21">
                  <a:extLst>
                    <a:ext uri="{FF2B5EF4-FFF2-40B4-BE49-F238E27FC236}">
                      <a16:creationId xmlns:a16="http://schemas.microsoft.com/office/drawing/2014/main" id="{633223B6-6B0A-4456-AD87-83D64563E268}"/>
                    </a:ext>
                  </a:extLst>
                </xdr:cNvPr>
                <xdr:cNvSpPr txBox="1"/>
              </xdr:nvSpPr>
              <xdr:spPr>
                <a:xfrm>
                  <a:off x="8760023" y="776287"/>
                  <a:ext cx="2280285" cy="306704"/>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E50F35B-0F5E-4081-B868-B7FF26B9345E}" type="TxLink">
                    <a:rPr lang="en-US" sz="1800" b="1" i="0" u="none" strike="noStrike">
                      <a:solidFill>
                        <a:schemeClr val="bg1"/>
                      </a:solidFill>
                      <a:latin typeface="+mn-lt"/>
                      <a:ea typeface="Calibri"/>
                      <a:cs typeface="Calibri"/>
                    </a:rPr>
                    <a:pPr marL="0" indent="0" algn="ctr"/>
                    <a:t>SEPTEMBER PIPELINE</a:t>
                  </a:fld>
                  <a:endParaRPr lang="en-US" sz="1800" b="1">
                    <a:solidFill>
                      <a:schemeClr val="bg1"/>
                    </a:solidFill>
                    <a:latin typeface="+mn-lt"/>
                    <a:ea typeface="+mn-ea"/>
                    <a:cs typeface="+mn-cs"/>
                  </a:endParaRPr>
                </a:p>
              </xdr:txBody>
            </xdr:sp>
          </xdr:grpSp>
          <xdr:sp macro="" textlink="Analysis!B29">
            <xdr:nvSpPr>
              <xdr:cNvPr id="23" name="TextBox 22">
                <a:extLst>
                  <a:ext uri="{FF2B5EF4-FFF2-40B4-BE49-F238E27FC236}">
                    <a16:creationId xmlns:a16="http://schemas.microsoft.com/office/drawing/2014/main" id="{B318C823-D777-44D3-A62A-B3EFF83B836C}"/>
                  </a:ext>
                </a:extLst>
              </xdr:cNvPr>
              <xdr:cNvSpPr txBox="1"/>
            </xdr:nvSpPr>
            <xdr:spPr>
              <a:xfrm>
                <a:off x="9283652" y="1043304"/>
                <a:ext cx="1207182" cy="398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C4FA92D-BF16-4E9E-B719-5B05BDABB599}" type="TxLink">
                  <a:rPr lang="en-US" sz="2000" b="0" i="0" u="none" strike="noStrike">
                    <a:solidFill>
                      <a:schemeClr val="bg1"/>
                    </a:solidFill>
                    <a:latin typeface="Calibri"/>
                    <a:ea typeface="Calibri"/>
                    <a:cs typeface="Calibri"/>
                  </a:rPr>
                  <a:pPr marL="0" indent="0" algn="ctr"/>
                  <a:t>$0</a:t>
                </a:fld>
                <a:endParaRPr lang="en-US" sz="2000" b="0" i="0" u="none" strike="noStrike">
                  <a:solidFill>
                    <a:schemeClr val="bg1"/>
                  </a:solidFill>
                  <a:latin typeface="Calibri"/>
                  <a:ea typeface="Calibri"/>
                  <a:cs typeface="Calibri"/>
                </a:endParaRPr>
              </a:p>
            </xdr:txBody>
          </xdr:sp>
          <xdr:sp macro="" textlink="Analysis!C29">
            <xdr:nvSpPr>
              <xdr:cNvPr id="24" name="TextBox 23">
                <a:extLst>
                  <a:ext uri="{FF2B5EF4-FFF2-40B4-BE49-F238E27FC236}">
                    <a16:creationId xmlns:a16="http://schemas.microsoft.com/office/drawing/2014/main" id="{9129FDAB-7715-4DC4-9CF3-EDCF5A7E669E}"/>
                  </a:ext>
                </a:extLst>
              </xdr:cNvPr>
              <xdr:cNvSpPr txBox="1"/>
            </xdr:nvSpPr>
            <xdr:spPr>
              <a:xfrm>
                <a:off x="9268412" y="1333501"/>
                <a:ext cx="1241472" cy="39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E117F3A-D94E-4916-B50C-5B298796402F}" type="TxLink">
                  <a:rPr lang="en-US" sz="2000" b="0" i="0" u="none" strike="noStrike">
                    <a:solidFill>
                      <a:schemeClr val="bg1"/>
                    </a:solidFill>
                    <a:latin typeface="Calibri"/>
                    <a:ea typeface="Calibri"/>
                    <a:cs typeface="Calibri"/>
                  </a:rPr>
                  <a:pPr marL="0" indent="0" algn="ctr"/>
                  <a:t>0</a:t>
                </a:fld>
                <a:endParaRPr lang="en-US" sz="2000" b="0" i="0" u="none" strike="noStrike">
                  <a:solidFill>
                    <a:schemeClr val="bg1"/>
                  </a:solidFill>
                  <a:latin typeface="Calibri"/>
                  <a:ea typeface="Calibri"/>
                  <a:cs typeface="Calibri"/>
                </a:endParaRPr>
              </a:p>
            </xdr:txBody>
          </xdr:sp>
          <xdr:sp macro="" textlink="">
            <xdr:nvSpPr>
              <xdr:cNvPr id="25" name="TextBox 24">
                <a:extLst>
                  <a:ext uri="{FF2B5EF4-FFF2-40B4-BE49-F238E27FC236}">
                    <a16:creationId xmlns:a16="http://schemas.microsoft.com/office/drawing/2014/main" id="{F66C40E2-C823-43CB-851F-662BED7DAB1F}"/>
                  </a:ext>
                </a:extLst>
              </xdr:cNvPr>
              <xdr:cNvSpPr txBox="1"/>
            </xdr:nvSpPr>
            <xdr:spPr>
              <a:xfrm>
                <a:off x="3124199" y="1171575"/>
                <a:ext cx="826770" cy="16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Values</a:t>
                </a:r>
              </a:p>
            </xdr:txBody>
          </xdr:sp>
          <xdr:sp macro="" textlink="">
            <xdr:nvSpPr>
              <xdr:cNvPr id="26" name="TextBox 25">
                <a:extLst>
                  <a:ext uri="{FF2B5EF4-FFF2-40B4-BE49-F238E27FC236}">
                    <a16:creationId xmlns:a16="http://schemas.microsoft.com/office/drawing/2014/main" id="{433C21E7-6AC8-4502-AE87-F5DDB615CB66}"/>
                  </a:ext>
                </a:extLst>
              </xdr:cNvPr>
              <xdr:cNvSpPr txBox="1"/>
            </xdr:nvSpPr>
            <xdr:spPr>
              <a:xfrm>
                <a:off x="3009900" y="1428750"/>
                <a:ext cx="1066800" cy="146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solidFill>
                  </a:rPr>
                  <a:t>Counts</a:t>
                </a:r>
              </a:p>
            </xdr:txBody>
          </xdr:sp>
          <xdr:sp macro="" textlink="Analysis!C28">
            <xdr:nvSpPr>
              <xdr:cNvPr id="27" name="TextBox 26">
                <a:extLst>
                  <a:ext uri="{FF2B5EF4-FFF2-40B4-BE49-F238E27FC236}">
                    <a16:creationId xmlns:a16="http://schemas.microsoft.com/office/drawing/2014/main" id="{D2678E78-8F61-4047-9F4D-722FC4135D3D}"/>
                  </a:ext>
                </a:extLst>
              </xdr:cNvPr>
              <xdr:cNvSpPr txBox="1"/>
            </xdr:nvSpPr>
            <xdr:spPr>
              <a:xfrm>
                <a:off x="6723332" y="1323023"/>
                <a:ext cx="1226232" cy="417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EA7D850-863A-45F1-895F-24576E2C0285}" type="TxLink">
                  <a:rPr lang="en-US" sz="2000" b="0" i="0" u="none" strike="noStrike">
                    <a:solidFill>
                      <a:schemeClr val="bg1"/>
                    </a:solidFill>
                    <a:latin typeface="Calibri"/>
                    <a:ea typeface="Calibri"/>
                    <a:cs typeface="Calibri"/>
                  </a:rPr>
                  <a:pPr marL="0" indent="0" algn="ctr"/>
                  <a:t>11</a:t>
                </a:fld>
                <a:endParaRPr lang="en-US" sz="2000" b="0" i="0" u="none" strike="noStrike">
                  <a:solidFill>
                    <a:schemeClr val="bg1"/>
                  </a:solidFill>
                  <a:latin typeface="Calibri"/>
                  <a:ea typeface="Calibri"/>
                  <a:cs typeface="Calibri"/>
                </a:endParaRPr>
              </a:p>
            </xdr:txBody>
          </xdr:sp>
          <xdr:sp macro="" textlink="Analysis!C30">
            <xdr:nvSpPr>
              <xdr:cNvPr id="28" name="TextBox 27">
                <a:extLst>
                  <a:ext uri="{FF2B5EF4-FFF2-40B4-BE49-F238E27FC236}">
                    <a16:creationId xmlns:a16="http://schemas.microsoft.com/office/drawing/2014/main" id="{DEEB0281-ADFB-491E-8A10-F5F205F54503}"/>
                  </a:ext>
                </a:extLst>
              </xdr:cNvPr>
              <xdr:cNvSpPr txBox="1"/>
            </xdr:nvSpPr>
            <xdr:spPr>
              <a:xfrm>
                <a:off x="11948158" y="1333501"/>
                <a:ext cx="773430" cy="396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F2AA9CF-7F86-40AA-9C72-C773A720B569}" type="TxLink">
                  <a:rPr lang="en-US" sz="2000" b="0" i="0" u="none" strike="noStrike">
                    <a:solidFill>
                      <a:schemeClr val="bg1"/>
                    </a:solidFill>
                    <a:latin typeface="Calibri"/>
                    <a:ea typeface="Calibri"/>
                    <a:cs typeface="Calibri"/>
                  </a:rPr>
                  <a:pPr marL="0" indent="0" algn="ctr"/>
                  <a:t>57</a:t>
                </a:fld>
                <a:endParaRPr lang="en-US" sz="2000" b="0" i="0" u="none" strike="noStrike">
                  <a:solidFill>
                    <a:schemeClr val="bg1"/>
                  </a:solidFill>
                  <a:latin typeface="Calibri"/>
                  <a:ea typeface="Calibri"/>
                  <a:cs typeface="Calibri"/>
                </a:endParaRPr>
              </a:p>
            </xdr:txBody>
          </xdr:sp>
          <xdr:graphicFrame macro="">
            <xdr:nvGraphicFramePr>
              <xdr:cNvPr id="95" name="Chart 94">
                <a:extLst>
                  <a:ext uri="{FF2B5EF4-FFF2-40B4-BE49-F238E27FC236}">
                    <a16:creationId xmlns:a16="http://schemas.microsoft.com/office/drawing/2014/main" id="{383FF908-369A-051B-1B24-76A8D589A5D0}"/>
                  </a:ext>
                </a:extLst>
              </xdr:cNvPr>
              <xdr:cNvGraphicFramePr/>
            </xdr:nvGraphicFramePr>
            <xdr:xfrm>
              <a:off x="15226324" y="1059180"/>
              <a:ext cx="3200400" cy="731520"/>
            </xdr:xfrm>
            <a:graphic>
              <a:graphicData uri="http://schemas.openxmlformats.org/drawingml/2006/chart">
                <c:chart xmlns:c="http://schemas.openxmlformats.org/drawingml/2006/chart" xmlns:r="http://schemas.openxmlformats.org/officeDocument/2006/relationships" r:id="rId1"/>
              </a:graphicData>
            </a:graphic>
          </xdr:graphicFrame>
        </xdr:grpSp>
      </xdr:grpSp>
      <xdr:grpSp>
        <xdr:nvGrpSpPr>
          <xdr:cNvPr id="102" name="Group 101">
            <a:extLst>
              <a:ext uri="{FF2B5EF4-FFF2-40B4-BE49-F238E27FC236}">
                <a16:creationId xmlns:a16="http://schemas.microsoft.com/office/drawing/2014/main" id="{49E65DA1-37CF-7CB1-838F-F5C6D404B113}"/>
              </a:ext>
            </a:extLst>
          </xdr:cNvPr>
          <xdr:cNvGrpSpPr/>
        </xdr:nvGrpSpPr>
        <xdr:grpSpPr>
          <a:xfrm>
            <a:off x="673090" y="2250127"/>
            <a:ext cx="14816095" cy="946612"/>
            <a:chOff x="3169920" y="2186940"/>
            <a:chExt cx="15280006" cy="909637"/>
          </a:xfrm>
        </xdr:grpSpPr>
        <xdr:sp macro="" textlink="">
          <xdr:nvSpPr>
            <xdr:cNvPr id="33" name="Rectangle 32">
              <a:extLst>
                <a:ext uri="{FF2B5EF4-FFF2-40B4-BE49-F238E27FC236}">
                  <a16:creationId xmlns:a16="http://schemas.microsoft.com/office/drawing/2014/main" id="{B70BF2FF-592E-4F5B-B7E1-09AEC2C2214A}"/>
                </a:ext>
              </a:extLst>
            </xdr:cNvPr>
            <xdr:cNvSpPr/>
          </xdr:nvSpPr>
          <xdr:spPr>
            <a:xfrm>
              <a:off x="3169920" y="2186940"/>
              <a:ext cx="15280006" cy="909637"/>
            </a:xfrm>
            <a:prstGeom prst="rect">
              <a:avLst/>
            </a:prstGeom>
            <a:gradFill>
              <a:gsLst>
                <a:gs pos="100000">
                  <a:schemeClr val="tx2">
                    <a:lumMod val="60000"/>
                    <a:lumOff val="40000"/>
                  </a:schemeClr>
                </a:gs>
                <a:gs pos="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96" name="MONTH 3">
                  <a:extLst>
                    <a:ext uri="{FF2B5EF4-FFF2-40B4-BE49-F238E27FC236}">
                      <a16:creationId xmlns:a16="http://schemas.microsoft.com/office/drawing/2014/main" id="{08E15724-3A42-733B-3173-3DADA949E11F}"/>
                    </a:ext>
                  </a:extLst>
                </xdr:cNvPr>
                <xdr:cNvGraphicFramePr/>
              </xdr:nvGraphicFramePr>
              <xdr:xfrm>
                <a:off x="3253739" y="2282190"/>
                <a:ext cx="11137769" cy="68580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754364" y="2349249"/>
                  <a:ext cx="10799619" cy="7136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SALES CHANNEL 3">
                  <a:extLst>
                    <a:ext uri="{FF2B5EF4-FFF2-40B4-BE49-F238E27FC236}">
                      <a16:creationId xmlns:a16="http://schemas.microsoft.com/office/drawing/2014/main" id="{E9A157FC-F95C-9BAA-6DAB-114B52A8B6F9}"/>
                    </a:ext>
                  </a:extLst>
                </xdr:cNvPr>
                <xdr:cNvGraphicFramePr/>
              </xdr:nvGraphicFramePr>
              <xdr:xfrm>
                <a:off x="14523720" y="2282190"/>
                <a:ext cx="3566160" cy="685800"/>
              </xdr:xfrm>
              <a:graphic>
                <a:graphicData uri="http://schemas.microsoft.com/office/drawing/2010/slicer">
                  <sle:slicer xmlns:sle="http://schemas.microsoft.com/office/drawing/2010/slicer" name="SALES CHANNEL 3"/>
                </a:graphicData>
              </a:graphic>
            </xdr:graphicFrame>
          </mc:Choice>
          <mc:Fallback xmlns="">
            <xdr:sp macro="" textlink="">
              <xdr:nvSpPr>
                <xdr:cNvPr id="0" name=""/>
                <xdr:cNvSpPr>
                  <a:spLocks noTextEdit="1"/>
                </xdr:cNvSpPr>
              </xdr:nvSpPr>
              <xdr:spPr>
                <a:xfrm>
                  <a:off x="11682181" y="2349249"/>
                  <a:ext cx="3457889" cy="7136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 name="Group 6">
            <a:extLst>
              <a:ext uri="{FF2B5EF4-FFF2-40B4-BE49-F238E27FC236}">
                <a16:creationId xmlns:a16="http://schemas.microsoft.com/office/drawing/2014/main" id="{9BB97EB5-9DED-6728-64C1-5E9EB99F57BE}"/>
              </a:ext>
            </a:extLst>
          </xdr:cNvPr>
          <xdr:cNvGrpSpPr/>
        </xdr:nvGrpSpPr>
        <xdr:grpSpPr>
          <a:xfrm>
            <a:off x="510540" y="3249274"/>
            <a:ext cx="14977559" cy="2795234"/>
            <a:chOff x="510540" y="3249274"/>
            <a:chExt cx="14977559" cy="2795234"/>
          </a:xfrm>
        </xdr:grpSpPr>
        <xdr:grpSp>
          <xdr:nvGrpSpPr>
            <xdr:cNvPr id="4" name="Group 3">
              <a:extLst>
                <a:ext uri="{FF2B5EF4-FFF2-40B4-BE49-F238E27FC236}">
                  <a16:creationId xmlns:a16="http://schemas.microsoft.com/office/drawing/2014/main" id="{5AAE0755-0399-AF05-5009-F8FC6498CB46}"/>
                </a:ext>
              </a:extLst>
            </xdr:cNvPr>
            <xdr:cNvGrpSpPr/>
          </xdr:nvGrpSpPr>
          <xdr:grpSpPr>
            <a:xfrm>
              <a:off x="13486598" y="3330141"/>
              <a:ext cx="2001501" cy="2712720"/>
              <a:chOff x="13486598" y="3330141"/>
              <a:chExt cx="2001501" cy="2712720"/>
            </a:xfrm>
          </xdr:grpSpPr>
          <xdr:sp macro="" textlink="">
            <xdr:nvSpPr>
              <xdr:cNvPr id="69" name="Rectangle 68">
                <a:extLst>
                  <a:ext uri="{FF2B5EF4-FFF2-40B4-BE49-F238E27FC236}">
                    <a16:creationId xmlns:a16="http://schemas.microsoft.com/office/drawing/2014/main" id="{53170264-3362-4B89-856B-A13B48D3536A}"/>
                  </a:ext>
                </a:extLst>
              </xdr:cNvPr>
              <xdr:cNvSpPr/>
            </xdr:nvSpPr>
            <xdr:spPr>
              <a:xfrm>
                <a:off x="13486598" y="3330141"/>
                <a:ext cx="2001501" cy="2712720"/>
              </a:xfrm>
              <a:prstGeom prst="rect">
                <a:avLst/>
              </a:prstGeom>
              <a:gradFill>
                <a:gsLst>
                  <a:gs pos="0">
                    <a:schemeClr val="tx2">
                      <a:lumMod val="60000"/>
                      <a:lumOff val="40000"/>
                    </a:schemeClr>
                  </a:gs>
                  <a:gs pos="10000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TextBox 70">
                <a:extLst>
                  <a:ext uri="{FF2B5EF4-FFF2-40B4-BE49-F238E27FC236}">
                    <a16:creationId xmlns:a16="http://schemas.microsoft.com/office/drawing/2014/main" id="{8FD65975-4105-494E-B1C0-4CD866D6AB91}"/>
                  </a:ext>
                </a:extLst>
              </xdr:cNvPr>
              <xdr:cNvSpPr txBox="1"/>
            </xdr:nvSpPr>
            <xdr:spPr>
              <a:xfrm>
                <a:off x="13530726" y="3381699"/>
                <a:ext cx="1860747" cy="42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u="sng" baseline="0">
                    <a:solidFill>
                      <a:schemeClr val="bg1"/>
                    </a:solidFill>
                  </a:rPr>
                  <a:t>TOP 5 PROSPECTS</a:t>
                </a:r>
                <a:endParaRPr lang="en-US" sz="1400" b="1" u="sng">
                  <a:solidFill>
                    <a:schemeClr val="bg1"/>
                  </a:solidFill>
                </a:endParaRPr>
              </a:p>
            </xdr:txBody>
          </xdr:sp>
          <xdr:sp macro="" textlink="Analysis!Z20">
            <xdr:nvSpPr>
              <xdr:cNvPr id="72" name="TextBox 71">
                <a:extLst>
                  <a:ext uri="{FF2B5EF4-FFF2-40B4-BE49-F238E27FC236}">
                    <a16:creationId xmlns:a16="http://schemas.microsoft.com/office/drawing/2014/main" id="{0426A164-8153-4EDC-A6F8-85435FE2D3B0}"/>
                  </a:ext>
                </a:extLst>
              </xdr:cNvPr>
              <xdr:cNvSpPr txBox="1"/>
            </xdr:nvSpPr>
            <xdr:spPr>
              <a:xfrm>
                <a:off x="13556416" y="3912585"/>
                <a:ext cx="1864058" cy="321242"/>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F3879EA-6203-4AA8-B1B9-A48B6A70C4D0}" type="TxLink">
                  <a:rPr lang="en-US" sz="1200" b="1" i="0" u="none" strike="noStrike">
                    <a:solidFill>
                      <a:schemeClr val="bg1"/>
                    </a:solidFill>
                    <a:latin typeface="Calibri"/>
                    <a:ea typeface="Calibri"/>
                    <a:cs typeface="Calibri"/>
                  </a:rPr>
                  <a:pPr marL="0" indent="0" algn="l"/>
                  <a:t>Sea Wealth </a:t>
                </a:fld>
                <a:endParaRPr lang="en-US" sz="1200" b="1" i="0" u="none" strike="noStrike">
                  <a:solidFill>
                    <a:schemeClr val="bg1"/>
                  </a:solidFill>
                  <a:latin typeface="+mn-lt"/>
                  <a:ea typeface="+mn-ea"/>
                  <a:cs typeface="+mn-cs"/>
                </a:endParaRPr>
              </a:p>
            </xdr:txBody>
          </xdr:sp>
          <xdr:sp macro="" textlink="Analysis!Z21">
            <xdr:nvSpPr>
              <xdr:cNvPr id="73" name="TextBox 72">
                <a:extLst>
                  <a:ext uri="{FF2B5EF4-FFF2-40B4-BE49-F238E27FC236}">
                    <a16:creationId xmlns:a16="http://schemas.microsoft.com/office/drawing/2014/main" id="{C7E79BAB-A3EC-46BC-A3F7-BF6FCFC4E5B2}"/>
                  </a:ext>
                </a:extLst>
              </xdr:cNvPr>
              <xdr:cNvSpPr txBox="1"/>
            </xdr:nvSpPr>
            <xdr:spPr>
              <a:xfrm>
                <a:off x="13560093" y="4304720"/>
                <a:ext cx="1855802" cy="331157"/>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FABB83-9A93-495D-AF7A-81840A3DF362}" type="TxLink">
                  <a:rPr lang="en-US" sz="1200" b="1" i="0" u="none" strike="noStrike">
                    <a:solidFill>
                      <a:schemeClr val="bg1"/>
                    </a:solidFill>
                    <a:latin typeface="Calibri"/>
                    <a:ea typeface="Calibri"/>
                    <a:cs typeface="Calibri"/>
                  </a:rPr>
                  <a:pPr marL="0" indent="0" algn="l"/>
                  <a:t>Over Twain Healthcare</a:t>
                </a:fld>
                <a:endParaRPr lang="en-US" sz="1200" b="1" i="0" u="none" strike="noStrike">
                  <a:solidFill>
                    <a:schemeClr val="bg1"/>
                  </a:solidFill>
                  <a:latin typeface="+mn-lt"/>
                  <a:ea typeface="+mn-ea"/>
                  <a:cs typeface="+mn-cs"/>
                </a:endParaRPr>
              </a:p>
            </xdr:txBody>
          </xdr:sp>
          <xdr:sp macro="" textlink="Analysis!Z22">
            <xdr:nvSpPr>
              <xdr:cNvPr id="74" name="TextBox 73">
                <a:extLst>
                  <a:ext uri="{FF2B5EF4-FFF2-40B4-BE49-F238E27FC236}">
                    <a16:creationId xmlns:a16="http://schemas.microsoft.com/office/drawing/2014/main" id="{1062B11A-A0B4-4921-A738-FB741CD9056A}"/>
                  </a:ext>
                </a:extLst>
              </xdr:cNvPr>
              <xdr:cNvSpPr txBox="1"/>
            </xdr:nvSpPr>
            <xdr:spPr>
              <a:xfrm>
                <a:off x="13556416" y="4706770"/>
                <a:ext cx="1864058" cy="317276"/>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C783FDF-48A7-4849-B2B0-1A959DDA218F}" type="TxLink">
                  <a:rPr lang="en-US" sz="1200" b="1" i="0" u="none" strike="noStrike">
                    <a:solidFill>
                      <a:schemeClr val="bg1"/>
                    </a:solidFill>
                    <a:latin typeface="Calibri"/>
                    <a:ea typeface="Calibri"/>
                    <a:cs typeface="Calibri"/>
                  </a:rPr>
                  <a:pPr marL="0" indent="0" algn="l"/>
                  <a:t>Principal Vets</a:t>
                </a:fld>
                <a:endParaRPr lang="en-US" sz="1200" b="1" i="0" u="none" strike="noStrike">
                  <a:solidFill>
                    <a:schemeClr val="bg1"/>
                  </a:solidFill>
                  <a:latin typeface="+mn-lt"/>
                  <a:ea typeface="+mn-ea"/>
                  <a:cs typeface="+mn-cs"/>
                </a:endParaRPr>
              </a:p>
            </xdr:txBody>
          </xdr:sp>
          <xdr:sp macro="" textlink="Analysis!Z23">
            <xdr:nvSpPr>
              <xdr:cNvPr id="75" name="TextBox 74">
                <a:extLst>
                  <a:ext uri="{FF2B5EF4-FFF2-40B4-BE49-F238E27FC236}">
                    <a16:creationId xmlns:a16="http://schemas.microsoft.com/office/drawing/2014/main" id="{DC0BA529-CD6F-4834-AC5E-C3B6001BCB56}"/>
                  </a:ext>
                </a:extLst>
              </xdr:cNvPr>
              <xdr:cNvSpPr txBox="1"/>
            </xdr:nvSpPr>
            <xdr:spPr>
              <a:xfrm>
                <a:off x="13560093" y="5094939"/>
                <a:ext cx="1855802" cy="323225"/>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F75AA5CB-7766-4191-8DCB-F2852222BEE0}" type="TxLink">
                  <a:rPr lang="en-US" sz="1200" b="1" i="0" u="none" strike="noStrike">
                    <a:solidFill>
                      <a:schemeClr val="bg1"/>
                    </a:solidFill>
                    <a:latin typeface="Calibri"/>
                    <a:ea typeface="Calibri"/>
                    <a:cs typeface="Calibri"/>
                  </a:rPr>
                  <a:pPr marL="0" indent="0" algn="l"/>
                  <a:t>Influence Care Inc.</a:t>
                </a:fld>
                <a:endParaRPr lang="en-US" sz="1200" b="1" i="0" u="none" strike="noStrike">
                  <a:solidFill>
                    <a:schemeClr val="bg1"/>
                  </a:solidFill>
                  <a:latin typeface="+mn-lt"/>
                  <a:ea typeface="+mn-ea"/>
                  <a:cs typeface="+mn-cs"/>
                </a:endParaRPr>
              </a:p>
            </xdr:txBody>
          </xdr:sp>
          <xdr:sp macro="" textlink="Analysis!Z24">
            <xdr:nvSpPr>
              <xdr:cNvPr id="76" name="TextBox 75">
                <a:extLst>
                  <a:ext uri="{FF2B5EF4-FFF2-40B4-BE49-F238E27FC236}">
                    <a16:creationId xmlns:a16="http://schemas.microsoft.com/office/drawing/2014/main" id="{1D21AC47-E0AB-44D4-9865-A5DB3CEC64A9}"/>
                  </a:ext>
                </a:extLst>
              </xdr:cNvPr>
              <xdr:cNvSpPr txBox="1"/>
            </xdr:nvSpPr>
            <xdr:spPr>
              <a:xfrm>
                <a:off x="13556416" y="5489056"/>
                <a:ext cx="1864058" cy="333140"/>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43998C2-EFB3-45CD-9705-5A462986D7F2}" type="TxLink">
                  <a:rPr lang="en-US" sz="1200" b="1" i="0" u="none" strike="noStrike">
                    <a:solidFill>
                      <a:schemeClr val="bg1"/>
                    </a:solidFill>
                    <a:latin typeface="Calibri"/>
                    <a:ea typeface="Calibri"/>
                    <a:cs typeface="Calibri"/>
                  </a:rPr>
                  <a:pPr marL="0" indent="0" algn="l"/>
                  <a:t>Pest Scoon LLC</a:t>
                </a:fld>
                <a:endParaRPr lang="en-US" sz="1200" b="1" i="0" u="none" strike="noStrike">
                  <a:solidFill>
                    <a:schemeClr val="bg1"/>
                  </a:solidFill>
                  <a:latin typeface="+mn-lt"/>
                  <a:ea typeface="+mn-ea"/>
                  <a:cs typeface="+mn-cs"/>
                </a:endParaRPr>
              </a:p>
            </xdr:txBody>
          </xdr:sp>
        </xdr:grpSp>
        <xdr:grpSp>
          <xdr:nvGrpSpPr>
            <xdr:cNvPr id="106" name="Group 105">
              <a:extLst>
                <a:ext uri="{FF2B5EF4-FFF2-40B4-BE49-F238E27FC236}">
                  <a16:creationId xmlns:a16="http://schemas.microsoft.com/office/drawing/2014/main" id="{AB820EA2-162B-7FE1-C0D3-89D2BB167A2B}"/>
                </a:ext>
              </a:extLst>
            </xdr:cNvPr>
            <xdr:cNvGrpSpPr/>
          </xdr:nvGrpSpPr>
          <xdr:grpSpPr>
            <a:xfrm>
              <a:off x="510540" y="3249274"/>
              <a:ext cx="12787909" cy="2795234"/>
              <a:chOff x="3002280" y="3147060"/>
              <a:chExt cx="13188315" cy="2686050"/>
            </a:xfrm>
          </xdr:grpSpPr>
          <xdr:grpSp>
            <xdr:nvGrpSpPr>
              <xdr:cNvPr id="103" name="Group 102">
                <a:extLst>
                  <a:ext uri="{FF2B5EF4-FFF2-40B4-BE49-F238E27FC236}">
                    <a16:creationId xmlns:a16="http://schemas.microsoft.com/office/drawing/2014/main" id="{FD3B4777-CC6E-2062-03ED-F62D768CDA00}"/>
                  </a:ext>
                </a:extLst>
              </xdr:cNvPr>
              <xdr:cNvGrpSpPr/>
            </xdr:nvGrpSpPr>
            <xdr:grpSpPr>
              <a:xfrm>
                <a:off x="3002280" y="3147060"/>
                <a:ext cx="13188315" cy="2686050"/>
                <a:chOff x="3002280" y="3147060"/>
                <a:chExt cx="13188315" cy="2686050"/>
              </a:xfrm>
            </xdr:grpSpPr>
            <xdr:grpSp>
              <xdr:nvGrpSpPr>
                <xdr:cNvPr id="90" name="Group 89">
                  <a:extLst>
                    <a:ext uri="{FF2B5EF4-FFF2-40B4-BE49-F238E27FC236}">
                      <a16:creationId xmlns:a16="http://schemas.microsoft.com/office/drawing/2014/main" id="{1345090F-B5D1-0BD9-FEB5-61BBD81A121C}"/>
                    </a:ext>
                  </a:extLst>
                </xdr:cNvPr>
                <xdr:cNvGrpSpPr/>
              </xdr:nvGrpSpPr>
              <xdr:grpSpPr>
                <a:xfrm>
                  <a:off x="6484620" y="3207971"/>
                  <a:ext cx="3160307" cy="2625139"/>
                  <a:chOff x="6484620" y="3207971"/>
                  <a:chExt cx="3160307" cy="2625139"/>
                </a:xfrm>
              </xdr:grpSpPr>
              <xdr:sp macro="" textlink="">
                <xdr:nvSpPr>
                  <xdr:cNvPr id="51" name="Rectangle 50">
                    <a:extLst>
                      <a:ext uri="{FF2B5EF4-FFF2-40B4-BE49-F238E27FC236}">
                        <a16:creationId xmlns:a16="http://schemas.microsoft.com/office/drawing/2014/main" id="{6E3B0016-0C4F-6119-1401-69DF5B938BC7}"/>
                      </a:ext>
                    </a:extLst>
                  </xdr:cNvPr>
                  <xdr:cNvSpPr/>
                </xdr:nvSpPr>
                <xdr:spPr>
                  <a:xfrm>
                    <a:off x="6580094" y="3227070"/>
                    <a:ext cx="2926080" cy="2606040"/>
                  </a:xfrm>
                  <a:prstGeom prst="rect">
                    <a:avLst/>
                  </a:prstGeom>
                  <a:gradFill>
                    <a:gsLst>
                      <a:gs pos="0">
                        <a:schemeClr val="tx2">
                          <a:lumMod val="60000"/>
                          <a:lumOff val="40000"/>
                        </a:schemeClr>
                      </a:gs>
                      <a:gs pos="10000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 name="Trapezoid 51">
                    <a:extLst>
                      <a:ext uri="{FF2B5EF4-FFF2-40B4-BE49-F238E27FC236}">
                        <a16:creationId xmlns:a16="http://schemas.microsoft.com/office/drawing/2014/main" id="{714D388C-1F83-3F30-5BB1-C9B97A7AEC0F}"/>
                      </a:ext>
                    </a:extLst>
                  </xdr:cNvPr>
                  <xdr:cNvSpPr/>
                </xdr:nvSpPr>
                <xdr:spPr>
                  <a:xfrm rot="10800000">
                    <a:off x="6688935" y="3551831"/>
                    <a:ext cx="2751989" cy="396949"/>
                  </a:xfrm>
                  <a:prstGeom prst="trapezoid">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Trapezoid 52">
                    <a:extLst>
                      <a:ext uri="{FF2B5EF4-FFF2-40B4-BE49-F238E27FC236}">
                        <a16:creationId xmlns:a16="http://schemas.microsoft.com/office/drawing/2014/main" id="{F5DFE699-54B9-651B-2E43-1D45CE8D5138}"/>
                      </a:ext>
                    </a:extLst>
                  </xdr:cNvPr>
                  <xdr:cNvSpPr/>
                </xdr:nvSpPr>
                <xdr:spPr>
                  <a:xfrm rot="10800000">
                    <a:off x="6900440" y="4162233"/>
                    <a:ext cx="2328980" cy="396949"/>
                  </a:xfrm>
                  <a:prstGeom prst="trapezoid">
                    <a:avLst/>
                  </a:prstGeom>
                  <a:solidFill>
                    <a:srgbClr val="000099"/>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Trapezoid 53">
                    <a:extLst>
                      <a:ext uri="{FF2B5EF4-FFF2-40B4-BE49-F238E27FC236}">
                        <a16:creationId xmlns:a16="http://schemas.microsoft.com/office/drawing/2014/main" id="{C32E9525-3C33-4604-34C3-432336840814}"/>
                      </a:ext>
                    </a:extLst>
                  </xdr:cNvPr>
                  <xdr:cNvSpPr/>
                </xdr:nvSpPr>
                <xdr:spPr>
                  <a:xfrm rot="10800000">
                    <a:off x="7099789" y="4723952"/>
                    <a:ext cx="1930283" cy="396949"/>
                  </a:xfrm>
                  <a:prstGeom prst="trapezoid">
                    <a:avLst/>
                  </a:prstGeom>
                  <a:solidFill>
                    <a:srgbClr val="00B0F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TextBox 54">
                    <a:extLst>
                      <a:ext uri="{FF2B5EF4-FFF2-40B4-BE49-F238E27FC236}">
                        <a16:creationId xmlns:a16="http://schemas.microsoft.com/office/drawing/2014/main" id="{3153A3AC-74BD-8601-CFB4-B9413AB7DCDE}"/>
                      </a:ext>
                    </a:extLst>
                  </xdr:cNvPr>
                  <xdr:cNvSpPr txBox="1"/>
                </xdr:nvSpPr>
                <xdr:spPr>
                  <a:xfrm>
                    <a:off x="7606483" y="3535086"/>
                    <a:ext cx="1048099" cy="228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IDENTIFIED </a:t>
                    </a:r>
                  </a:p>
                </xdr:txBody>
              </xdr:sp>
              <xdr:sp macro="" textlink="">
                <xdr:nvSpPr>
                  <xdr:cNvPr id="56" name="Trapezoid 55">
                    <a:extLst>
                      <a:ext uri="{FF2B5EF4-FFF2-40B4-BE49-F238E27FC236}">
                        <a16:creationId xmlns:a16="http://schemas.microsoft.com/office/drawing/2014/main" id="{738E5723-5AA5-1704-2B61-5B58F75E08C8}"/>
                      </a:ext>
                    </a:extLst>
                  </xdr:cNvPr>
                  <xdr:cNvSpPr/>
                </xdr:nvSpPr>
                <xdr:spPr>
                  <a:xfrm rot="10800000">
                    <a:off x="7355053" y="5296906"/>
                    <a:ext cx="1419754" cy="396949"/>
                  </a:xfrm>
                  <a:prstGeom prst="trapezoid">
                    <a:avLst/>
                  </a:prstGeom>
                  <a:solidFill>
                    <a:schemeClr val="tx2">
                      <a:lumMod val="60000"/>
                      <a:lumOff val="4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L31">
                <xdr:nvSpPr>
                  <xdr:cNvPr id="57" name="TextBox 56">
                    <a:extLst>
                      <a:ext uri="{FF2B5EF4-FFF2-40B4-BE49-F238E27FC236}">
                        <a16:creationId xmlns:a16="http://schemas.microsoft.com/office/drawing/2014/main" id="{18B3E933-7DBB-0C7E-35B0-A56BA569D2D3}"/>
                      </a:ext>
                    </a:extLst>
                  </xdr:cNvPr>
                  <xdr:cNvSpPr txBox="1"/>
                </xdr:nvSpPr>
                <xdr:spPr>
                  <a:xfrm>
                    <a:off x="6722338" y="3658910"/>
                    <a:ext cx="977177" cy="33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27BB50E-BD06-4C00-B630-066733F1186B}" type="TxLink">
                      <a:rPr lang="en-US" sz="1200" b="0" i="0" u="none" strike="noStrike">
                        <a:solidFill>
                          <a:schemeClr val="bg1"/>
                        </a:solidFill>
                        <a:latin typeface="Calibri"/>
                        <a:ea typeface="Calibri"/>
                        <a:cs typeface="Calibri"/>
                      </a:rPr>
                      <a:pPr marL="0" indent="0" algn="ctr"/>
                      <a:t>$25,133</a:t>
                    </a:fld>
                    <a:endParaRPr lang="en-US" sz="1200" b="0" i="0" u="none" strike="noStrike">
                      <a:solidFill>
                        <a:schemeClr val="bg1"/>
                      </a:solidFill>
                      <a:latin typeface="Calibri"/>
                      <a:ea typeface="Calibri"/>
                      <a:cs typeface="Calibri"/>
                    </a:endParaRPr>
                  </a:p>
                </xdr:txBody>
              </xdr:sp>
              <xdr:sp macro="" textlink="">
                <xdr:nvSpPr>
                  <xdr:cNvPr id="58" name="TextBox 57">
                    <a:extLst>
                      <a:ext uri="{FF2B5EF4-FFF2-40B4-BE49-F238E27FC236}">
                        <a16:creationId xmlns:a16="http://schemas.microsoft.com/office/drawing/2014/main" id="{739FCE0C-D8AB-40AE-2AC6-26EE6B6ED25A}"/>
                      </a:ext>
                    </a:extLst>
                  </xdr:cNvPr>
                  <xdr:cNvSpPr txBox="1"/>
                </xdr:nvSpPr>
                <xdr:spPr>
                  <a:xfrm>
                    <a:off x="7634916" y="4142383"/>
                    <a:ext cx="1032069" cy="228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QUALIFIED </a:t>
                    </a:r>
                  </a:p>
                </xdr:txBody>
              </xdr:sp>
              <xdr:sp macro="" textlink="">
                <xdr:nvSpPr>
                  <xdr:cNvPr id="59" name="TextBox 58">
                    <a:extLst>
                      <a:ext uri="{FF2B5EF4-FFF2-40B4-BE49-F238E27FC236}">
                        <a16:creationId xmlns:a16="http://schemas.microsoft.com/office/drawing/2014/main" id="{F7D9352F-7386-319F-CFA2-D85A4432B987}"/>
                      </a:ext>
                    </a:extLst>
                  </xdr:cNvPr>
                  <xdr:cNvSpPr txBox="1"/>
                </xdr:nvSpPr>
                <xdr:spPr>
                  <a:xfrm>
                    <a:off x="7665703" y="5284605"/>
                    <a:ext cx="865578" cy="228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solidFill>
                      </a:rPr>
                      <a:t>WON </a:t>
                    </a:r>
                  </a:p>
                </xdr:txBody>
              </xdr:sp>
              <xdr:sp macro="" textlink="">
                <xdr:nvSpPr>
                  <xdr:cNvPr id="60" name="TextBox 59">
                    <a:extLst>
                      <a:ext uri="{FF2B5EF4-FFF2-40B4-BE49-F238E27FC236}">
                        <a16:creationId xmlns:a16="http://schemas.microsoft.com/office/drawing/2014/main" id="{703485E4-21B9-D3BD-CD29-5E846694DE04}"/>
                      </a:ext>
                    </a:extLst>
                  </xdr:cNvPr>
                  <xdr:cNvSpPr txBox="1"/>
                </xdr:nvSpPr>
                <xdr:spPr>
                  <a:xfrm>
                    <a:off x="7665420" y="4679143"/>
                    <a:ext cx="990017" cy="228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PROPOSAL </a:t>
                    </a:r>
                  </a:p>
                </xdr:txBody>
              </xdr:sp>
              <xdr:sp macro="" textlink="">
                <xdr:nvSpPr>
                  <xdr:cNvPr id="61" name="TextBox 60">
                    <a:extLst>
                      <a:ext uri="{FF2B5EF4-FFF2-40B4-BE49-F238E27FC236}">
                        <a16:creationId xmlns:a16="http://schemas.microsoft.com/office/drawing/2014/main" id="{04274A18-9176-DF78-2C61-661F2150A45B}"/>
                      </a:ext>
                    </a:extLst>
                  </xdr:cNvPr>
                  <xdr:cNvSpPr txBox="1"/>
                </xdr:nvSpPr>
                <xdr:spPr>
                  <a:xfrm>
                    <a:off x="6484620" y="3207971"/>
                    <a:ext cx="1585370" cy="311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PIPELINE FUNNEL</a:t>
                    </a:r>
                    <a:endParaRPr lang="en-US" sz="1400" b="1">
                      <a:solidFill>
                        <a:schemeClr val="bg1"/>
                      </a:solidFill>
                    </a:endParaRPr>
                  </a:p>
                </xdr:txBody>
              </xdr:sp>
              <xdr:sp macro="" textlink="Analysis!L32">
                <xdr:nvSpPr>
                  <xdr:cNvPr id="62" name="TextBox_proposal">
                    <a:extLst>
                      <a:ext uri="{FF2B5EF4-FFF2-40B4-BE49-F238E27FC236}">
                        <a16:creationId xmlns:a16="http://schemas.microsoft.com/office/drawing/2014/main" id="{7A2CD36B-A93C-25FF-8854-39460DB62702}"/>
                      </a:ext>
                    </a:extLst>
                  </xdr:cNvPr>
                  <xdr:cNvSpPr txBox="1"/>
                </xdr:nvSpPr>
                <xdr:spPr>
                  <a:xfrm>
                    <a:off x="6909235" y="4307956"/>
                    <a:ext cx="900954" cy="235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32168B-0A2B-4863-A0BC-E0A645E5B188}" type="TxLink">
                      <a:rPr lang="en-US" sz="1200" b="0" i="0" u="none" strike="noStrike">
                        <a:solidFill>
                          <a:schemeClr val="bg1"/>
                        </a:solidFill>
                        <a:latin typeface="Calibri"/>
                        <a:ea typeface="Calibri"/>
                        <a:cs typeface="Calibri"/>
                      </a:rPr>
                      <a:pPr algn="ctr"/>
                      <a:t>$129,862</a:t>
                    </a:fld>
                    <a:endParaRPr lang="en-US" sz="1200">
                      <a:solidFill>
                        <a:schemeClr val="bg1"/>
                      </a:solidFill>
                    </a:endParaRPr>
                  </a:p>
                </xdr:txBody>
              </xdr:sp>
              <xdr:sp macro="" textlink="Analysis!L33">
                <xdr:nvSpPr>
                  <xdr:cNvPr id="63" name="TextBoxproposal">
                    <a:extLst>
                      <a:ext uri="{FF2B5EF4-FFF2-40B4-BE49-F238E27FC236}">
                        <a16:creationId xmlns:a16="http://schemas.microsoft.com/office/drawing/2014/main" id="{16E65024-1E67-9152-9E5E-23BBC62B1F25}"/>
                      </a:ext>
                    </a:extLst>
                  </xdr:cNvPr>
                  <xdr:cNvSpPr txBox="1"/>
                </xdr:nvSpPr>
                <xdr:spPr>
                  <a:xfrm>
                    <a:off x="7061316" y="4878516"/>
                    <a:ext cx="900954" cy="254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059D53-999D-4C1A-90EA-E7251B63D1EB}" type="TxLink">
                      <a:rPr lang="en-US" sz="1200" b="0" i="0" u="none" strike="noStrike">
                        <a:solidFill>
                          <a:schemeClr val="bg1"/>
                        </a:solidFill>
                        <a:latin typeface="Calibri"/>
                        <a:ea typeface="Calibri"/>
                        <a:cs typeface="Calibri"/>
                      </a:rPr>
                      <a:pPr algn="ctr"/>
                      <a:t>$61,783</a:t>
                    </a:fld>
                    <a:endParaRPr lang="en-US" sz="1200">
                      <a:solidFill>
                        <a:schemeClr val="bg1"/>
                      </a:solidFill>
                    </a:endParaRPr>
                  </a:p>
                </xdr:txBody>
              </xdr:sp>
              <xdr:sp macro="" textlink="Analysis!L34">
                <xdr:nvSpPr>
                  <xdr:cNvPr id="64" name="TextBoxwon">
                    <a:extLst>
                      <a:ext uri="{FF2B5EF4-FFF2-40B4-BE49-F238E27FC236}">
                        <a16:creationId xmlns:a16="http://schemas.microsoft.com/office/drawing/2014/main" id="{35239DBF-1378-619F-D6C6-F90B4CD05AC3}"/>
                      </a:ext>
                    </a:extLst>
                  </xdr:cNvPr>
                  <xdr:cNvSpPr txBox="1"/>
                </xdr:nvSpPr>
                <xdr:spPr>
                  <a:xfrm>
                    <a:off x="7338015" y="5468333"/>
                    <a:ext cx="900954" cy="233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88E30C-0F73-4AEE-9B68-6C123367D7CE}" type="TxLink">
                      <a:rPr lang="en-US" sz="1200" b="0" i="0" u="none" strike="noStrike">
                        <a:solidFill>
                          <a:schemeClr val="bg1"/>
                        </a:solidFill>
                        <a:latin typeface="Calibri"/>
                        <a:ea typeface="Calibri"/>
                        <a:cs typeface="Calibri"/>
                      </a:rPr>
                      <a:pPr algn="ctr"/>
                      <a:t>$61,363</a:t>
                    </a:fld>
                    <a:endParaRPr lang="en-US" sz="1200">
                      <a:solidFill>
                        <a:schemeClr val="bg1"/>
                      </a:solidFill>
                    </a:endParaRPr>
                  </a:p>
                </xdr:txBody>
              </xdr:sp>
              <xdr:sp macro="" textlink="Analysis!M31">
                <xdr:nvSpPr>
                  <xdr:cNvPr id="65" name="TextBox 64">
                    <a:extLst>
                      <a:ext uri="{FF2B5EF4-FFF2-40B4-BE49-F238E27FC236}">
                        <a16:creationId xmlns:a16="http://schemas.microsoft.com/office/drawing/2014/main" id="{B19B1DFC-4245-4C1C-9DAD-3184A498649A}"/>
                      </a:ext>
                    </a:extLst>
                  </xdr:cNvPr>
                  <xdr:cNvSpPr txBox="1"/>
                </xdr:nvSpPr>
                <xdr:spPr>
                  <a:xfrm>
                    <a:off x="8671560" y="3680460"/>
                    <a:ext cx="973367" cy="3248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E4AF223-8F02-46F7-89CD-362F3F987CD7}" type="TxLink">
                      <a:rPr lang="en-US" sz="1200" b="0" i="0" u="none" strike="noStrike">
                        <a:solidFill>
                          <a:schemeClr val="bg1"/>
                        </a:solidFill>
                        <a:latin typeface="Calibri"/>
                        <a:ea typeface="Calibri"/>
                        <a:cs typeface="Calibri"/>
                      </a:rPr>
                      <a:pPr marL="0" indent="0" algn="ctr"/>
                      <a:t>24</a:t>
                    </a:fld>
                    <a:endParaRPr lang="en-US" sz="1200" b="0" i="0" u="none" strike="noStrike">
                      <a:solidFill>
                        <a:schemeClr val="bg1"/>
                      </a:solidFill>
                      <a:latin typeface="Calibri"/>
                      <a:ea typeface="Calibri"/>
                      <a:cs typeface="Calibri"/>
                    </a:endParaRPr>
                  </a:p>
                </xdr:txBody>
              </xdr:sp>
              <xdr:sp macro="" textlink="Analysis!M32">
                <xdr:nvSpPr>
                  <xdr:cNvPr id="66" name="TextBox 65">
                    <a:extLst>
                      <a:ext uri="{FF2B5EF4-FFF2-40B4-BE49-F238E27FC236}">
                        <a16:creationId xmlns:a16="http://schemas.microsoft.com/office/drawing/2014/main" id="{7C3566B3-3797-497B-8EC9-A6C05980AAC6}"/>
                      </a:ext>
                    </a:extLst>
                  </xdr:cNvPr>
                  <xdr:cNvSpPr txBox="1"/>
                </xdr:nvSpPr>
                <xdr:spPr>
                  <a:xfrm>
                    <a:off x="8490585" y="4286250"/>
                    <a:ext cx="969557" cy="326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DDA09A-0EE7-4162-A87D-438080662A8F}" type="TxLink">
                      <a:rPr lang="en-US" sz="1200" b="0" i="0" u="none" strike="noStrike">
                        <a:solidFill>
                          <a:schemeClr val="bg1"/>
                        </a:solidFill>
                        <a:latin typeface="Calibri"/>
                        <a:ea typeface="Calibri"/>
                        <a:cs typeface="Calibri"/>
                      </a:rPr>
                      <a:pPr marL="0" indent="0" algn="ctr"/>
                      <a:t>27</a:t>
                    </a:fld>
                    <a:endParaRPr lang="en-US" sz="1200" b="0" i="0" u="none" strike="noStrike">
                      <a:solidFill>
                        <a:schemeClr val="bg1"/>
                      </a:solidFill>
                      <a:latin typeface="Calibri"/>
                      <a:ea typeface="Calibri"/>
                      <a:cs typeface="Calibri"/>
                    </a:endParaRPr>
                  </a:p>
                </xdr:txBody>
              </xdr:sp>
              <xdr:sp macro="" textlink="Analysis!M33">
                <xdr:nvSpPr>
                  <xdr:cNvPr id="67" name="TextBox 66">
                    <a:extLst>
                      <a:ext uri="{FF2B5EF4-FFF2-40B4-BE49-F238E27FC236}">
                        <a16:creationId xmlns:a16="http://schemas.microsoft.com/office/drawing/2014/main" id="{2B1888CD-BD7C-4841-B933-AE2B3B708CC2}"/>
                      </a:ext>
                    </a:extLst>
                  </xdr:cNvPr>
                  <xdr:cNvSpPr txBox="1"/>
                </xdr:nvSpPr>
                <xdr:spPr>
                  <a:xfrm>
                    <a:off x="8315325" y="4836795"/>
                    <a:ext cx="977177" cy="32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5DFD30A-96BC-45EA-BD79-2FD886BC9096}" type="TxLink">
                      <a:rPr lang="en-US" sz="1200" b="0" i="0" u="none" strike="noStrike">
                        <a:solidFill>
                          <a:schemeClr val="bg1"/>
                        </a:solidFill>
                        <a:latin typeface="Calibri"/>
                        <a:ea typeface="Calibri"/>
                        <a:cs typeface="Calibri"/>
                      </a:rPr>
                      <a:pPr marL="0" indent="0" algn="ctr"/>
                      <a:t>6</a:t>
                    </a:fld>
                    <a:endParaRPr lang="en-US" sz="1200" b="0" i="0" u="none" strike="noStrike">
                      <a:solidFill>
                        <a:schemeClr val="bg1"/>
                      </a:solidFill>
                      <a:latin typeface="Calibri"/>
                      <a:ea typeface="Calibri"/>
                      <a:cs typeface="Calibri"/>
                    </a:endParaRPr>
                  </a:p>
                </xdr:txBody>
              </xdr:sp>
              <xdr:sp macro="" textlink="Analysis!M34">
                <xdr:nvSpPr>
                  <xdr:cNvPr id="68" name="TextBox 67">
                    <a:extLst>
                      <a:ext uri="{FF2B5EF4-FFF2-40B4-BE49-F238E27FC236}">
                        <a16:creationId xmlns:a16="http://schemas.microsoft.com/office/drawing/2014/main" id="{FD663669-5140-4C53-9835-9126546F5B87}"/>
                      </a:ext>
                    </a:extLst>
                  </xdr:cNvPr>
                  <xdr:cNvSpPr txBox="1"/>
                </xdr:nvSpPr>
                <xdr:spPr>
                  <a:xfrm>
                    <a:off x="8039100" y="5417820"/>
                    <a:ext cx="977177" cy="31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48CC001-3F36-4DC2-8450-426D481DD61F}" type="TxLink">
                      <a:rPr lang="en-US" sz="1200" b="0" i="0" u="none" strike="noStrike">
                        <a:solidFill>
                          <a:schemeClr val="bg1"/>
                        </a:solidFill>
                        <a:latin typeface="Calibri"/>
                        <a:ea typeface="Calibri"/>
                        <a:cs typeface="Calibri"/>
                      </a:rPr>
                      <a:pPr marL="0" indent="0" algn="ctr"/>
                      <a:t>4</a:t>
                    </a:fld>
                    <a:endParaRPr lang="en-US" sz="1200" b="0" i="0" u="none" strike="noStrike">
                      <a:solidFill>
                        <a:schemeClr val="bg1"/>
                      </a:solidFill>
                      <a:latin typeface="Calibri"/>
                      <a:ea typeface="Calibri"/>
                      <a:cs typeface="Calibri"/>
                    </a:endParaRPr>
                  </a:p>
                </xdr:txBody>
              </xdr:sp>
            </xdr:grpSp>
            <xdr:grpSp>
              <xdr:nvGrpSpPr>
                <xdr:cNvPr id="91" name="Group 90">
                  <a:extLst>
                    <a:ext uri="{FF2B5EF4-FFF2-40B4-BE49-F238E27FC236}">
                      <a16:creationId xmlns:a16="http://schemas.microsoft.com/office/drawing/2014/main" id="{298353C7-041F-7856-D6A2-15906237373F}"/>
                    </a:ext>
                  </a:extLst>
                </xdr:cNvPr>
                <xdr:cNvGrpSpPr/>
              </xdr:nvGrpSpPr>
              <xdr:grpSpPr>
                <a:xfrm>
                  <a:off x="3002280" y="3147060"/>
                  <a:ext cx="3185160" cy="2686050"/>
                  <a:chOff x="3002280" y="3147060"/>
                  <a:chExt cx="3185160" cy="2686050"/>
                </a:xfrm>
              </xdr:grpSpPr>
              <xdr:sp macro="" textlink="">
                <xdr:nvSpPr>
                  <xdr:cNvPr id="34" name="Rectangle 33">
                    <a:extLst>
                      <a:ext uri="{FF2B5EF4-FFF2-40B4-BE49-F238E27FC236}">
                        <a16:creationId xmlns:a16="http://schemas.microsoft.com/office/drawing/2014/main" id="{46F4D762-001C-454B-8C7E-88A232CB8DB1}"/>
                      </a:ext>
                    </a:extLst>
                  </xdr:cNvPr>
                  <xdr:cNvSpPr/>
                </xdr:nvSpPr>
                <xdr:spPr>
                  <a:xfrm>
                    <a:off x="3177540" y="3227070"/>
                    <a:ext cx="2926080" cy="2606040"/>
                  </a:xfrm>
                  <a:prstGeom prst="rect">
                    <a:avLst/>
                  </a:prstGeom>
                  <a:gradFill>
                    <a:gsLst>
                      <a:gs pos="0">
                        <a:schemeClr val="tx2">
                          <a:lumMod val="60000"/>
                          <a:lumOff val="40000"/>
                        </a:schemeClr>
                      </a:gs>
                      <a:gs pos="10000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TextBox 48">
                    <a:extLst>
                      <a:ext uri="{FF2B5EF4-FFF2-40B4-BE49-F238E27FC236}">
                        <a16:creationId xmlns:a16="http://schemas.microsoft.com/office/drawing/2014/main" id="{E9D7FF01-745C-4A2E-B09B-1D97924C082B}"/>
                      </a:ext>
                    </a:extLst>
                  </xdr:cNvPr>
                  <xdr:cNvSpPr txBox="1"/>
                </xdr:nvSpPr>
                <xdr:spPr>
                  <a:xfrm>
                    <a:off x="3002280" y="3147060"/>
                    <a:ext cx="2128520" cy="43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PIPELINE BY CHANNEL</a:t>
                    </a:r>
                    <a:endParaRPr lang="en-US" sz="1400" b="1">
                      <a:solidFill>
                        <a:schemeClr val="bg1"/>
                      </a:solidFill>
                    </a:endParaRPr>
                  </a:p>
                </xdr:txBody>
              </xdr:sp>
              <xdr:graphicFrame macro="">
                <xdr:nvGraphicFramePr>
                  <xdr:cNvPr id="89" name="Chart 88">
                    <a:extLst>
                      <a:ext uri="{FF2B5EF4-FFF2-40B4-BE49-F238E27FC236}">
                        <a16:creationId xmlns:a16="http://schemas.microsoft.com/office/drawing/2014/main" id="{FD7A32DD-249B-4DB1-B2C5-997C5D4EEB54}"/>
                      </a:ext>
                    </a:extLst>
                  </xdr:cNvPr>
                  <xdr:cNvGraphicFramePr>
                    <a:graphicFrameLocks/>
                  </xdr:cNvGraphicFramePr>
                </xdr:nvGraphicFramePr>
                <xdr:xfrm>
                  <a:off x="3078480" y="3307080"/>
                  <a:ext cx="3108960" cy="2468880"/>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93" name="Group 92">
                  <a:extLst>
                    <a:ext uri="{FF2B5EF4-FFF2-40B4-BE49-F238E27FC236}">
                      <a16:creationId xmlns:a16="http://schemas.microsoft.com/office/drawing/2014/main" id="{A71C910F-BCB1-E87E-4CCC-085CD282B5DC}"/>
                    </a:ext>
                  </a:extLst>
                </xdr:cNvPr>
                <xdr:cNvGrpSpPr/>
              </xdr:nvGrpSpPr>
              <xdr:grpSpPr>
                <a:xfrm>
                  <a:off x="9685020" y="3162300"/>
                  <a:ext cx="6505575" cy="2670810"/>
                  <a:chOff x="9685020" y="3162300"/>
                  <a:chExt cx="6505575" cy="2670810"/>
                </a:xfrm>
              </xdr:grpSpPr>
              <xdr:sp macro="" textlink="">
                <xdr:nvSpPr>
                  <xdr:cNvPr id="36" name="Rectangle 35">
                    <a:extLst>
                      <a:ext uri="{FF2B5EF4-FFF2-40B4-BE49-F238E27FC236}">
                        <a16:creationId xmlns:a16="http://schemas.microsoft.com/office/drawing/2014/main" id="{C2F43B39-2398-4CB8-A13E-9C4D3B9E2442}"/>
                      </a:ext>
                    </a:extLst>
                  </xdr:cNvPr>
                  <xdr:cNvSpPr/>
                </xdr:nvSpPr>
                <xdr:spPr>
                  <a:xfrm>
                    <a:off x="9806940" y="3227070"/>
                    <a:ext cx="6383655" cy="2606040"/>
                  </a:xfrm>
                  <a:prstGeom prst="rect">
                    <a:avLst/>
                  </a:prstGeom>
                  <a:gradFill>
                    <a:gsLst>
                      <a:gs pos="100000">
                        <a:schemeClr val="tx2">
                          <a:lumMod val="60000"/>
                          <a:lumOff val="40000"/>
                        </a:schemeClr>
                      </a:gs>
                      <a:gs pos="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C5EBDD24-EE0A-4797-9C2C-579E4E206916}"/>
                      </a:ext>
                    </a:extLst>
                  </xdr:cNvPr>
                  <xdr:cNvSpPr txBox="1"/>
                </xdr:nvSpPr>
                <xdr:spPr>
                  <a:xfrm>
                    <a:off x="9685020" y="3162300"/>
                    <a:ext cx="1922145" cy="412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PIPELINE BY MONTH</a:t>
                    </a:r>
                    <a:endParaRPr lang="en-US" sz="1400" b="1">
                      <a:solidFill>
                        <a:schemeClr val="bg1"/>
                      </a:solidFill>
                    </a:endParaRPr>
                  </a:p>
                </xdr:txBody>
              </xdr:sp>
              <xdr:graphicFrame macro="">
                <xdr:nvGraphicFramePr>
                  <xdr:cNvPr id="92" name="Chart 91">
                    <a:extLst>
                      <a:ext uri="{FF2B5EF4-FFF2-40B4-BE49-F238E27FC236}">
                        <a16:creationId xmlns:a16="http://schemas.microsoft.com/office/drawing/2014/main" id="{88B839F2-22AB-4599-AAC2-57D68E651682}"/>
                      </a:ext>
                    </a:extLst>
                  </xdr:cNvPr>
                  <xdr:cNvGraphicFramePr>
                    <a:graphicFrameLocks/>
                  </xdr:cNvGraphicFramePr>
                </xdr:nvGraphicFramePr>
                <xdr:xfrm>
                  <a:off x="9921240" y="3288030"/>
                  <a:ext cx="6195060" cy="2510790"/>
                </xdr:xfrm>
                <a:graphic>
                  <a:graphicData uri="http://schemas.openxmlformats.org/drawingml/2006/chart">
                    <c:chart xmlns:c="http://schemas.openxmlformats.org/drawingml/2006/chart" xmlns:r="http://schemas.openxmlformats.org/officeDocument/2006/relationships" r:id="rId3"/>
                  </a:graphicData>
                </a:graphic>
              </xdr:graphicFrame>
            </xdr:grpSp>
          </xdr:grpSp>
          <xdr:sp macro="" textlink="Analysis!I27">
            <xdr:nvSpPr>
              <xdr:cNvPr id="104" name="TextBox 103">
                <a:extLst>
                  <a:ext uri="{FF2B5EF4-FFF2-40B4-BE49-F238E27FC236}">
                    <a16:creationId xmlns:a16="http://schemas.microsoft.com/office/drawing/2014/main" id="{5CE55AB4-351A-4ECB-B49B-B41C0BE18C64}"/>
                  </a:ext>
                </a:extLst>
              </xdr:cNvPr>
              <xdr:cNvSpPr txBox="1"/>
            </xdr:nvSpPr>
            <xdr:spPr>
              <a:xfrm>
                <a:off x="4061460" y="4448250"/>
                <a:ext cx="1212897" cy="584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DDB6D5A-A00E-415A-A613-7E5892AEA580}" type="TxLink">
                  <a:rPr lang="en-US" sz="1200" b="1" i="0" u="none" strike="noStrike">
                    <a:solidFill>
                      <a:schemeClr val="bg1"/>
                    </a:solidFill>
                    <a:latin typeface="Calibri"/>
                    <a:ea typeface="Calibri"/>
                    <a:cs typeface="Calibri"/>
                  </a:rPr>
                  <a:pPr marL="0" indent="0" algn="ctr"/>
                  <a:t>$216,778</a:t>
                </a:fld>
                <a:endParaRPr lang="en-US" sz="1200" b="1" i="0" u="none" strike="noStrike">
                  <a:solidFill>
                    <a:schemeClr val="bg1"/>
                  </a:solidFill>
                  <a:latin typeface="Calibri"/>
                  <a:ea typeface="Calibri"/>
                  <a:cs typeface="Calibri"/>
                </a:endParaRPr>
              </a:p>
            </xdr:txBody>
          </xdr:sp>
          <xdr:sp macro="" textlink="">
            <xdr:nvSpPr>
              <xdr:cNvPr id="105" name="TextBox 104">
                <a:extLst>
                  <a:ext uri="{FF2B5EF4-FFF2-40B4-BE49-F238E27FC236}">
                    <a16:creationId xmlns:a16="http://schemas.microsoft.com/office/drawing/2014/main" id="{684FFD0D-D330-4132-AD27-452C5917B7F6}"/>
                  </a:ext>
                </a:extLst>
              </xdr:cNvPr>
              <xdr:cNvSpPr txBox="1"/>
            </xdr:nvSpPr>
            <xdr:spPr>
              <a:xfrm>
                <a:off x="4321858" y="4297755"/>
                <a:ext cx="704849" cy="273569"/>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1">
                    <a:solidFill>
                      <a:schemeClr val="bg1"/>
                    </a:solidFill>
                    <a:latin typeface="+mn-lt"/>
                    <a:ea typeface="+mn-ea"/>
                    <a:cs typeface="+mn-cs"/>
                  </a:rPr>
                  <a:t> TOTAL</a:t>
                </a:r>
              </a:p>
            </xdr:txBody>
          </xdr:sp>
        </xdr:grpSp>
      </xdr:grpSp>
      <xdr:grpSp>
        <xdr:nvGrpSpPr>
          <xdr:cNvPr id="6" name="Group 5">
            <a:extLst>
              <a:ext uri="{FF2B5EF4-FFF2-40B4-BE49-F238E27FC236}">
                <a16:creationId xmlns:a16="http://schemas.microsoft.com/office/drawing/2014/main" id="{C5187FE5-8DF3-B84B-B274-5829CE572125}"/>
              </a:ext>
            </a:extLst>
          </xdr:cNvPr>
          <xdr:cNvGrpSpPr/>
        </xdr:nvGrpSpPr>
        <xdr:grpSpPr>
          <a:xfrm>
            <a:off x="665702" y="6548047"/>
            <a:ext cx="14830043" cy="2965761"/>
            <a:chOff x="665702" y="6548047"/>
            <a:chExt cx="14830043" cy="2965761"/>
          </a:xfrm>
        </xdr:grpSpPr>
        <xdr:grpSp>
          <xdr:nvGrpSpPr>
            <xdr:cNvPr id="5" name="Group 4">
              <a:extLst>
                <a:ext uri="{FF2B5EF4-FFF2-40B4-BE49-F238E27FC236}">
                  <a16:creationId xmlns:a16="http://schemas.microsoft.com/office/drawing/2014/main" id="{EE7FC523-4E62-4159-A20F-B61A0341D68C}"/>
                </a:ext>
              </a:extLst>
            </xdr:cNvPr>
            <xdr:cNvGrpSpPr/>
          </xdr:nvGrpSpPr>
          <xdr:grpSpPr>
            <a:xfrm>
              <a:off x="13485013" y="6606839"/>
              <a:ext cx="2010732" cy="2711971"/>
              <a:chOff x="13485013" y="6606839"/>
              <a:chExt cx="2010732" cy="2711971"/>
            </a:xfrm>
          </xdr:grpSpPr>
          <xdr:sp macro="" textlink="">
            <xdr:nvSpPr>
              <xdr:cNvPr id="70" name="Rectangle 69">
                <a:extLst>
                  <a:ext uri="{FF2B5EF4-FFF2-40B4-BE49-F238E27FC236}">
                    <a16:creationId xmlns:a16="http://schemas.microsoft.com/office/drawing/2014/main" id="{E9F64BDC-D4EC-4C85-8AF1-68F4AE8FD840}"/>
                  </a:ext>
                </a:extLst>
              </xdr:cNvPr>
              <xdr:cNvSpPr/>
            </xdr:nvSpPr>
            <xdr:spPr>
              <a:xfrm>
                <a:off x="13485013" y="6606839"/>
                <a:ext cx="2010732" cy="2711971"/>
              </a:xfrm>
              <a:prstGeom prst="rect">
                <a:avLst/>
              </a:prstGeom>
              <a:gradFill>
                <a:gsLst>
                  <a:gs pos="0">
                    <a:schemeClr val="tx2">
                      <a:lumMod val="60000"/>
                      <a:lumOff val="40000"/>
                    </a:schemeClr>
                  </a:gs>
                  <a:gs pos="10000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TextBox 76">
                <a:extLst>
                  <a:ext uri="{FF2B5EF4-FFF2-40B4-BE49-F238E27FC236}">
                    <a16:creationId xmlns:a16="http://schemas.microsoft.com/office/drawing/2014/main" id="{BC382F53-817E-4174-8ACA-8092CA4486BC}"/>
                  </a:ext>
                </a:extLst>
              </xdr:cNvPr>
              <xdr:cNvSpPr txBox="1"/>
            </xdr:nvSpPr>
            <xdr:spPr>
              <a:xfrm>
                <a:off x="13595843" y="6666993"/>
                <a:ext cx="1865634" cy="427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u="sng" baseline="0">
                    <a:solidFill>
                      <a:schemeClr val="bg1"/>
                    </a:solidFill>
                  </a:rPr>
                  <a:t>TOP 5 CLIENTS</a:t>
                </a:r>
                <a:endParaRPr lang="en-US" sz="1400" b="1" u="sng">
                  <a:solidFill>
                    <a:schemeClr val="bg1"/>
                  </a:solidFill>
                </a:endParaRPr>
              </a:p>
            </xdr:txBody>
          </xdr:sp>
          <xdr:sp macro="" textlink="Analysis!Z27">
            <xdr:nvSpPr>
              <xdr:cNvPr id="78" name="TextBox 77">
                <a:extLst>
                  <a:ext uri="{FF2B5EF4-FFF2-40B4-BE49-F238E27FC236}">
                    <a16:creationId xmlns:a16="http://schemas.microsoft.com/office/drawing/2014/main" id="{29755DF4-D653-448F-AC58-E468D1731EEE}"/>
                  </a:ext>
                </a:extLst>
              </xdr:cNvPr>
              <xdr:cNvSpPr txBox="1"/>
            </xdr:nvSpPr>
            <xdr:spPr>
              <a:xfrm>
                <a:off x="13561946" y="7182376"/>
                <a:ext cx="1878579" cy="317189"/>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B30F025-AB74-4BFA-B804-B513B00AD861}" type="TxLink">
                  <a:rPr lang="en-US" sz="1200" b="1" i="0" u="none" strike="noStrike">
                    <a:solidFill>
                      <a:schemeClr val="bg1"/>
                    </a:solidFill>
                    <a:latin typeface="Calibri"/>
                    <a:ea typeface="Calibri"/>
                    <a:cs typeface="Calibri"/>
                  </a:rPr>
                  <a:pPr marL="0" indent="0" algn="l"/>
                  <a:t>Hill Count Interiors</a:t>
                </a:fld>
                <a:endParaRPr lang="en-US" sz="1200" b="1" i="0" u="none" strike="noStrike">
                  <a:solidFill>
                    <a:schemeClr val="bg1"/>
                  </a:solidFill>
                  <a:latin typeface="+mn-lt"/>
                  <a:ea typeface="+mn-ea"/>
                  <a:cs typeface="+mn-cs"/>
                </a:endParaRPr>
              </a:p>
            </xdr:txBody>
          </xdr:sp>
          <xdr:sp macro="" textlink="Analysis!Z28">
            <xdr:nvSpPr>
              <xdr:cNvPr id="79" name="TextBox 78">
                <a:extLst>
                  <a:ext uri="{FF2B5EF4-FFF2-40B4-BE49-F238E27FC236}">
                    <a16:creationId xmlns:a16="http://schemas.microsoft.com/office/drawing/2014/main" id="{0288DDDF-E81A-435A-993E-7128D7430FFA}"/>
                  </a:ext>
                </a:extLst>
              </xdr:cNvPr>
              <xdr:cNvSpPr txBox="1"/>
            </xdr:nvSpPr>
            <xdr:spPr>
              <a:xfrm>
                <a:off x="13565641" y="7570933"/>
                <a:ext cx="1870257" cy="331066"/>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17B04D8-7C75-4F12-9643-2A2842CF0CF3}" type="TxLink">
                  <a:rPr lang="en-US" sz="1200" b="1" i="0" u="none" strike="noStrike">
                    <a:solidFill>
                      <a:schemeClr val="bg1"/>
                    </a:solidFill>
                    <a:latin typeface="Calibri"/>
                    <a:ea typeface="Calibri"/>
                    <a:cs typeface="Calibri"/>
                  </a:rPr>
                  <a:pPr marL="0" indent="0" algn="l"/>
                  <a:t>Rivera Law Firm</a:t>
                </a:fld>
                <a:endParaRPr lang="en-US" sz="1200" b="1" i="0" u="none" strike="noStrike">
                  <a:solidFill>
                    <a:schemeClr val="bg1"/>
                  </a:solidFill>
                  <a:latin typeface="+mn-lt"/>
                  <a:ea typeface="+mn-ea"/>
                  <a:cs typeface="+mn-cs"/>
                </a:endParaRPr>
              </a:p>
            </xdr:txBody>
          </xdr:sp>
          <xdr:sp macro="" textlink="Analysis!Z29">
            <xdr:nvSpPr>
              <xdr:cNvPr id="80" name="TextBox 79">
                <a:extLst>
                  <a:ext uri="{FF2B5EF4-FFF2-40B4-BE49-F238E27FC236}">
                    <a16:creationId xmlns:a16="http://schemas.microsoft.com/office/drawing/2014/main" id="{FE1EC492-9F6D-434E-8C5E-F0B97A52D7E1}"/>
                  </a:ext>
                </a:extLst>
              </xdr:cNvPr>
              <xdr:cNvSpPr txBox="1"/>
            </xdr:nvSpPr>
            <xdr:spPr>
              <a:xfrm>
                <a:off x="13561946" y="7973367"/>
                <a:ext cx="1878579" cy="311241"/>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BA0282E-AB35-44F7-AF19-A1AFF0BECC14}" type="TxLink">
                  <a:rPr lang="en-US" sz="1200" b="1" i="0" u="none" strike="noStrike">
                    <a:solidFill>
                      <a:schemeClr val="bg1"/>
                    </a:solidFill>
                    <a:latin typeface="Calibri"/>
                    <a:ea typeface="Calibri"/>
                    <a:cs typeface="Calibri"/>
                  </a:rPr>
                  <a:pPr marL="0" indent="0" algn="l"/>
                  <a:t>Law Richardson &amp; Andrew</a:t>
                </a:fld>
                <a:endParaRPr lang="en-US" sz="1200" b="1" i="0" u="none" strike="noStrike">
                  <a:solidFill>
                    <a:schemeClr val="bg1"/>
                  </a:solidFill>
                  <a:latin typeface="+mn-lt"/>
                  <a:ea typeface="+mn-ea"/>
                  <a:cs typeface="+mn-cs"/>
                </a:endParaRPr>
              </a:p>
            </xdr:txBody>
          </xdr:sp>
          <xdr:sp macro="" textlink="Analysis!Z30">
            <xdr:nvSpPr>
              <xdr:cNvPr id="81" name="TextBox 80">
                <a:extLst>
                  <a:ext uri="{FF2B5EF4-FFF2-40B4-BE49-F238E27FC236}">
                    <a16:creationId xmlns:a16="http://schemas.microsoft.com/office/drawing/2014/main" id="{AB59DF89-70F5-406F-897F-7FF435457D1E}"/>
                  </a:ext>
                </a:extLst>
              </xdr:cNvPr>
              <xdr:cNvSpPr txBox="1"/>
            </xdr:nvSpPr>
            <xdr:spPr>
              <a:xfrm>
                <a:off x="13565641" y="8355977"/>
                <a:ext cx="1870257" cy="329083"/>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224B3B-30B1-4368-A15F-AF9EEB2C4FA8}" type="TxLink">
                  <a:rPr lang="en-US" sz="1200" b="1" i="0" u="none" strike="noStrike">
                    <a:solidFill>
                      <a:schemeClr val="bg1"/>
                    </a:solidFill>
                    <a:latin typeface="Calibri"/>
                    <a:ea typeface="Calibri"/>
                    <a:cs typeface="Calibri"/>
                  </a:rPr>
                  <a:pPr marL="0" indent="0" algn="l"/>
                  <a:t>Community Wellness</a:t>
                </a:fld>
                <a:endParaRPr lang="en-US" sz="1200" b="1" i="0" u="none" strike="noStrike">
                  <a:solidFill>
                    <a:schemeClr val="bg1"/>
                  </a:solidFill>
                  <a:latin typeface="+mn-lt"/>
                  <a:ea typeface="+mn-ea"/>
                  <a:cs typeface="+mn-cs"/>
                </a:endParaRPr>
              </a:p>
            </xdr:txBody>
          </xdr:sp>
          <xdr:sp macro="" textlink="Analysis!Z31">
            <xdr:nvSpPr>
              <xdr:cNvPr id="82" name="TextBox 81">
                <a:extLst>
                  <a:ext uri="{FF2B5EF4-FFF2-40B4-BE49-F238E27FC236}">
                    <a16:creationId xmlns:a16="http://schemas.microsoft.com/office/drawing/2014/main" id="{5A6642E2-1404-42EB-BDDD-5B0673FB3972}"/>
                  </a:ext>
                </a:extLst>
              </xdr:cNvPr>
              <xdr:cNvSpPr txBox="1"/>
            </xdr:nvSpPr>
            <xdr:spPr>
              <a:xfrm>
                <a:off x="13560099" y="8756429"/>
                <a:ext cx="1882739" cy="337013"/>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5DC5BF06-C926-47F0-AEA2-7D0BA1A35BF2}" type="TxLink">
                  <a:rPr lang="en-US" sz="1200" b="1" i="0" u="none" strike="noStrike">
                    <a:solidFill>
                      <a:schemeClr val="bg1"/>
                    </a:solidFill>
                    <a:latin typeface="Calibri"/>
                    <a:ea typeface="Calibri"/>
                    <a:cs typeface="Calibri"/>
                  </a:rPr>
                  <a:pPr marL="0" indent="0" algn="l"/>
                  <a:t>First Environment</a:t>
                </a:fld>
                <a:endParaRPr lang="en-US" sz="1200" b="1" i="0" u="none" strike="noStrike">
                  <a:solidFill>
                    <a:schemeClr val="bg1"/>
                  </a:solidFill>
                  <a:latin typeface="+mn-lt"/>
                  <a:ea typeface="+mn-ea"/>
                  <a:cs typeface="+mn-cs"/>
                </a:endParaRPr>
              </a:p>
            </xdr:txBody>
          </xdr:sp>
        </xdr:grpSp>
        <xdr:grpSp>
          <xdr:nvGrpSpPr>
            <xdr:cNvPr id="125" name="Group 124">
              <a:extLst>
                <a:ext uri="{FF2B5EF4-FFF2-40B4-BE49-F238E27FC236}">
                  <a16:creationId xmlns:a16="http://schemas.microsoft.com/office/drawing/2014/main" id="{4A0B0B47-A37C-A52A-41AA-9CFD3C1E37AF}"/>
                </a:ext>
              </a:extLst>
            </xdr:cNvPr>
            <xdr:cNvGrpSpPr/>
          </xdr:nvGrpSpPr>
          <xdr:grpSpPr>
            <a:xfrm>
              <a:off x="7016248" y="6548047"/>
              <a:ext cx="6261882" cy="2778693"/>
              <a:chOff x="9711690" y="6316980"/>
              <a:chExt cx="6457950" cy="2670156"/>
            </a:xfrm>
          </xdr:grpSpPr>
          <xdr:grpSp>
            <xdr:nvGrpSpPr>
              <xdr:cNvPr id="117" name="Group 116">
                <a:extLst>
                  <a:ext uri="{FF2B5EF4-FFF2-40B4-BE49-F238E27FC236}">
                    <a16:creationId xmlns:a16="http://schemas.microsoft.com/office/drawing/2014/main" id="{FCE9FB69-1477-9673-6F41-591DE421A3A6}"/>
                  </a:ext>
                </a:extLst>
              </xdr:cNvPr>
              <xdr:cNvGrpSpPr/>
            </xdr:nvGrpSpPr>
            <xdr:grpSpPr>
              <a:xfrm>
                <a:off x="9711690" y="6316980"/>
                <a:ext cx="6457950" cy="2670156"/>
                <a:chOff x="9711690" y="6316980"/>
                <a:chExt cx="6457950" cy="2670156"/>
              </a:xfrm>
            </xdr:grpSpPr>
            <xdr:sp macro="" textlink="">
              <xdr:nvSpPr>
                <xdr:cNvPr id="45" name="Rectangle 44">
                  <a:extLst>
                    <a:ext uri="{FF2B5EF4-FFF2-40B4-BE49-F238E27FC236}">
                      <a16:creationId xmlns:a16="http://schemas.microsoft.com/office/drawing/2014/main" id="{A81B1204-06F4-EA15-05D7-F07E8A47E3F4}"/>
                    </a:ext>
                  </a:extLst>
                </xdr:cNvPr>
                <xdr:cNvSpPr/>
              </xdr:nvSpPr>
              <xdr:spPr>
                <a:xfrm>
                  <a:off x="9768840" y="6381096"/>
                  <a:ext cx="6400800" cy="2606040"/>
                </a:xfrm>
                <a:prstGeom prst="rect">
                  <a:avLst/>
                </a:prstGeom>
                <a:gradFill>
                  <a:gsLst>
                    <a:gs pos="100000">
                      <a:schemeClr val="tx2">
                        <a:lumMod val="60000"/>
                        <a:lumOff val="40000"/>
                      </a:schemeClr>
                    </a:gs>
                    <a:gs pos="0">
                      <a:schemeClr val="tx2">
                        <a:alpha val="66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TextBox 45">
                  <a:extLst>
                    <a:ext uri="{FF2B5EF4-FFF2-40B4-BE49-F238E27FC236}">
                      <a16:creationId xmlns:a16="http://schemas.microsoft.com/office/drawing/2014/main" id="{81CA88EB-24FD-7E15-82D0-E0EC5BD8B104}"/>
                    </a:ext>
                  </a:extLst>
                </xdr:cNvPr>
                <xdr:cNvSpPr txBox="1"/>
              </xdr:nvSpPr>
              <xdr:spPr>
                <a:xfrm>
                  <a:off x="9711690" y="6316980"/>
                  <a:ext cx="1577340" cy="408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solidFill>
                    </a:rPr>
                    <a:t>SALES TRENDLINE</a:t>
                  </a:r>
                  <a:endParaRPr lang="en-US" sz="1400" b="1">
                    <a:solidFill>
                      <a:schemeClr val="bg1"/>
                    </a:solidFill>
                  </a:endParaRPr>
                </a:p>
              </xdr:txBody>
            </xdr:sp>
            <xdr:graphicFrame macro="">
              <xdr:nvGraphicFramePr>
                <xdr:cNvPr id="98" name="Chart 97">
                  <a:extLst>
                    <a:ext uri="{FF2B5EF4-FFF2-40B4-BE49-F238E27FC236}">
                      <a16:creationId xmlns:a16="http://schemas.microsoft.com/office/drawing/2014/main" id="{543C99B9-7DD0-4ADF-8191-6DE8EA502552}"/>
                    </a:ext>
                  </a:extLst>
                </xdr:cNvPr>
                <xdr:cNvGraphicFramePr>
                  <a:graphicFrameLocks/>
                </xdr:cNvGraphicFramePr>
              </xdr:nvGraphicFramePr>
              <xdr:xfrm>
                <a:off x="9837420" y="6477001"/>
                <a:ext cx="6278880" cy="2446020"/>
              </xdr:xfrm>
              <a:graphic>
                <a:graphicData uri="http://schemas.openxmlformats.org/drawingml/2006/chart">
                  <c:chart xmlns:c="http://schemas.openxmlformats.org/drawingml/2006/chart" xmlns:r="http://schemas.openxmlformats.org/officeDocument/2006/relationships" r:id="rId4"/>
                </a:graphicData>
              </a:graphic>
            </xdr:graphicFrame>
          </xdr:grpSp>
          <mc:AlternateContent xmlns:mc="http://schemas.openxmlformats.org/markup-compatibility/2006" xmlns:a14="http://schemas.microsoft.com/office/drawing/2010/main">
            <mc:Choice Requires="a14">
              <xdr:graphicFrame macro="">
                <xdr:nvGraphicFramePr>
                  <xdr:cNvPr id="120" name="SALES CHANNEL 4">
                    <a:extLst>
                      <a:ext uri="{FF2B5EF4-FFF2-40B4-BE49-F238E27FC236}">
                        <a16:creationId xmlns:a16="http://schemas.microsoft.com/office/drawing/2014/main" id="{99C05A96-7982-67FB-08F8-AFB946352F58}"/>
                      </a:ext>
                    </a:extLst>
                  </xdr:cNvPr>
                  <xdr:cNvGraphicFramePr>
                    <a:graphicFrameLocks noChangeAspect="1"/>
                  </xdr:cNvGraphicFramePr>
                </xdr:nvGraphicFramePr>
                <xdr:xfrm>
                  <a:off x="9768842" y="6377941"/>
                  <a:ext cx="3520441" cy="675866"/>
                </xdr:xfrm>
                <a:graphic>
                  <a:graphicData uri="http://schemas.microsoft.com/office/drawing/2010/slicer">
                    <sle:slicer xmlns:sle="http://schemas.microsoft.com/office/drawing/2010/slicer" name="SALES CHANNEL 4"/>
                  </a:graphicData>
                </a:graphic>
              </xdr:graphicFrame>
            </mc:Choice>
            <mc:Fallback xmlns="">
              <xdr:sp macro="" textlink="">
                <xdr:nvSpPr>
                  <xdr:cNvPr id="0" name=""/>
                  <xdr:cNvSpPr>
                    <a:spLocks noTextEdit="1"/>
                  </xdr:cNvSpPr>
                </xdr:nvSpPr>
                <xdr:spPr>
                  <a:xfrm>
                    <a:off x="7071665" y="6611486"/>
                    <a:ext cx="3413558" cy="7033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124" name="Group 123">
              <a:extLst>
                <a:ext uri="{FF2B5EF4-FFF2-40B4-BE49-F238E27FC236}">
                  <a16:creationId xmlns:a16="http://schemas.microsoft.com/office/drawing/2014/main" id="{0D99734C-8DCB-283F-A4E8-D5B902A2D2FB}"/>
                </a:ext>
              </a:extLst>
            </xdr:cNvPr>
            <xdr:cNvGrpSpPr/>
          </xdr:nvGrpSpPr>
          <xdr:grpSpPr>
            <a:xfrm>
              <a:off x="665702" y="6603555"/>
              <a:ext cx="6208277" cy="2910253"/>
              <a:chOff x="3162300" y="6370320"/>
              <a:chExt cx="6402666" cy="2796577"/>
            </a:xfrm>
          </xdr:grpSpPr>
          <xdr:sp macro="" textlink="">
            <xdr:nvSpPr>
              <xdr:cNvPr id="43" name="Rectangle 42">
                <a:extLst>
                  <a:ext uri="{FF2B5EF4-FFF2-40B4-BE49-F238E27FC236}">
                    <a16:creationId xmlns:a16="http://schemas.microsoft.com/office/drawing/2014/main" id="{EB289F38-3931-4F25-A303-93C6F1D5358C}"/>
                  </a:ext>
                </a:extLst>
              </xdr:cNvPr>
              <xdr:cNvSpPr/>
            </xdr:nvSpPr>
            <xdr:spPr>
              <a:xfrm>
                <a:off x="3162300" y="6373476"/>
                <a:ext cx="6402666" cy="2606040"/>
              </a:xfrm>
              <a:prstGeom prst="rect">
                <a:avLst/>
              </a:prstGeom>
              <a:gradFill>
                <a:gsLst>
                  <a:gs pos="100000">
                    <a:schemeClr val="tx2">
                      <a:lumMod val="60000"/>
                      <a:lumOff val="40000"/>
                    </a:schemeClr>
                  </a:gs>
                  <a:gs pos="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nvGrpSpPr>
              <xdr:cNvPr id="123" name="Group 122">
                <a:extLst>
                  <a:ext uri="{FF2B5EF4-FFF2-40B4-BE49-F238E27FC236}">
                    <a16:creationId xmlns:a16="http://schemas.microsoft.com/office/drawing/2014/main" id="{CAAD1759-F43E-5D3A-6788-6D03F983A287}"/>
                  </a:ext>
                </a:extLst>
              </xdr:cNvPr>
              <xdr:cNvGrpSpPr/>
            </xdr:nvGrpSpPr>
            <xdr:grpSpPr>
              <a:xfrm>
                <a:off x="3497580" y="7373269"/>
                <a:ext cx="5600700" cy="1793628"/>
                <a:chOff x="3497580" y="7396129"/>
                <a:chExt cx="5600700" cy="1793628"/>
              </a:xfrm>
            </xdr:grpSpPr>
            <xdr:sp macro="" textlink="">
              <xdr:nvSpPr>
                <xdr:cNvPr id="83" name="TextBox 82">
                  <a:extLst>
                    <a:ext uri="{FF2B5EF4-FFF2-40B4-BE49-F238E27FC236}">
                      <a16:creationId xmlns:a16="http://schemas.microsoft.com/office/drawing/2014/main" id="{AF8234ED-0A92-46B1-A0AC-471E534E7AAA}"/>
                    </a:ext>
                  </a:extLst>
                </xdr:cNvPr>
                <xdr:cNvSpPr txBox="1"/>
              </xdr:nvSpPr>
              <xdr:spPr>
                <a:xfrm>
                  <a:off x="3657600" y="7396129"/>
                  <a:ext cx="1318644" cy="279321"/>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mn-lt"/>
                      <a:ea typeface="+mn-ea"/>
                      <a:cs typeface="+mn-cs"/>
                    </a:rPr>
                    <a:t>RENEWAL</a:t>
                  </a:r>
                </a:p>
              </xdr:txBody>
            </xdr:sp>
            <xdr:sp macro="" textlink="">
              <xdr:nvSpPr>
                <xdr:cNvPr id="84" name="TextBox 83">
                  <a:extLst>
                    <a:ext uri="{FF2B5EF4-FFF2-40B4-BE49-F238E27FC236}">
                      <a16:creationId xmlns:a16="http://schemas.microsoft.com/office/drawing/2014/main" id="{34F3499E-2CF4-44BC-9FC4-A7F1C6FD6C5E}"/>
                    </a:ext>
                  </a:extLst>
                </xdr:cNvPr>
                <xdr:cNvSpPr txBox="1"/>
              </xdr:nvSpPr>
              <xdr:spPr>
                <a:xfrm>
                  <a:off x="5485013" y="7403479"/>
                  <a:ext cx="1673078" cy="264620"/>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mn-lt"/>
                      <a:ea typeface="+mn-ea"/>
                      <a:cs typeface="+mn-cs"/>
                    </a:rPr>
                    <a:t>NEW BUSINESS</a:t>
                  </a:r>
                </a:p>
              </xdr:txBody>
            </xdr:sp>
            <xdr:sp macro="" textlink="">
              <xdr:nvSpPr>
                <xdr:cNvPr id="85" name="TextBox 84">
                  <a:extLst>
                    <a:ext uri="{FF2B5EF4-FFF2-40B4-BE49-F238E27FC236}">
                      <a16:creationId xmlns:a16="http://schemas.microsoft.com/office/drawing/2014/main" id="{098E573F-635D-4B5A-A4B5-53F69DD993C5}"/>
                    </a:ext>
                  </a:extLst>
                </xdr:cNvPr>
                <xdr:cNvSpPr txBox="1"/>
              </xdr:nvSpPr>
              <xdr:spPr>
                <a:xfrm>
                  <a:off x="7666860" y="7396129"/>
                  <a:ext cx="1318644" cy="279321"/>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solidFill>
                      <a:latin typeface="+mn-lt"/>
                      <a:ea typeface="+mn-ea"/>
                      <a:cs typeface="+mn-cs"/>
                    </a:rPr>
                    <a:t>AD-HOC</a:t>
                  </a:r>
                </a:p>
              </xdr:txBody>
            </xdr:sp>
            <xdr:grpSp>
              <xdr:nvGrpSpPr>
                <xdr:cNvPr id="113" name="Group 112">
                  <a:extLst>
                    <a:ext uri="{FF2B5EF4-FFF2-40B4-BE49-F238E27FC236}">
                      <a16:creationId xmlns:a16="http://schemas.microsoft.com/office/drawing/2014/main" id="{D63B7000-4919-8135-DB40-F682EDAB91B4}"/>
                    </a:ext>
                  </a:extLst>
                </xdr:cNvPr>
                <xdr:cNvGrpSpPr/>
              </xdr:nvGrpSpPr>
              <xdr:grpSpPr>
                <a:xfrm>
                  <a:off x="3497580" y="7479067"/>
                  <a:ext cx="5600700" cy="1710690"/>
                  <a:chOff x="3497580" y="7288567"/>
                  <a:chExt cx="5600700" cy="1710690"/>
                </a:xfrm>
              </xdr:grpSpPr>
              <xdr:grpSp>
                <xdr:nvGrpSpPr>
                  <xdr:cNvPr id="110" name="Group 109">
                    <a:extLst>
                      <a:ext uri="{FF2B5EF4-FFF2-40B4-BE49-F238E27FC236}">
                        <a16:creationId xmlns:a16="http://schemas.microsoft.com/office/drawing/2014/main" id="{56F2FECE-4B3E-3580-48FE-51E9FBBFDFA4}"/>
                      </a:ext>
                    </a:extLst>
                  </xdr:cNvPr>
                  <xdr:cNvGrpSpPr/>
                </xdr:nvGrpSpPr>
                <xdr:grpSpPr>
                  <a:xfrm>
                    <a:off x="3497580" y="7288567"/>
                    <a:ext cx="1562100" cy="1710690"/>
                    <a:chOff x="3497580" y="7288567"/>
                    <a:chExt cx="1562100" cy="1710690"/>
                  </a:xfrm>
                </xdr:grpSpPr>
                <xdr:graphicFrame macro="">
                  <xdr:nvGraphicFramePr>
                    <xdr:cNvPr id="107" name="Chart 106">
                      <a:extLst>
                        <a:ext uri="{FF2B5EF4-FFF2-40B4-BE49-F238E27FC236}">
                          <a16:creationId xmlns:a16="http://schemas.microsoft.com/office/drawing/2014/main" id="{0EEB9210-6711-01FD-E2C2-1C599E3A966F}"/>
                        </a:ext>
                      </a:extLst>
                    </xdr:cNvPr>
                    <xdr:cNvGraphicFramePr/>
                  </xdr:nvGraphicFramePr>
                  <xdr:xfrm>
                    <a:off x="3497580" y="7288567"/>
                    <a:ext cx="1562100" cy="1710690"/>
                  </xdr:xfrm>
                  <a:graphic>
                    <a:graphicData uri="http://schemas.openxmlformats.org/drawingml/2006/chart">
                      <c:chart xmlns:c="http://schemas.openxmlformats.org/drawingml/2006/chart" xmlns:r="http://schemas.openxmlformats.org/officeDocument/2006/relationships" r:id="rId5"/>
                    </a:graphicData>
                  </a:graphic>
                </xdr:graphicFrame>
                <xdr:sp macro="" textlink="Analysis!K18">
                  <xdr:nvSpPr>
                    <xdr:cNvPr id="88" name="TextBox_proposal">
                      <a:extLst>
                        <a:ext uri="{FF2B5EF4-FFF2-40B4-BE49-F238E27FC236}">
                          <a16:creationId xmlns:a16="http://schemas.microsoft.com/office/drawing/2014/main" id="{AC687D4E-F0D8-4894-B45F-A2E535E0C2B8}"/>
                        </a:ext>
                      </a:extLst>
                    </xdr:cNvPr>
                    <xdr:cNvSpPr txBox="1"/>
                  </xdr:nvSpPr>
                  <xdr:spPr>
                    <a:xfrm>
                      <a:off x="3893820" y="7956513"/>
                      <a:ext cx="821294" cy="334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D4F87B6-E1F2-43C1-826B-6FF4BB2BC85C}" type="TxLink">
                        <a:rPr lang="en-US" sz="2000" b="1" i="0" u="none" strike="noStrike">
                          <a:solidFill>
                            <a:srgbClr val="000000"/>
                          </a:solidFill>
                          <a:latin typeface="Calibri"/>
                          <a:ea typeface="Calibri"/>
                          <a:cs typeface="Calibri"/>
                        </a:rPr>
                        <a:pPr marL="0" indent="0" algn="ctr"/>
                        <a:t>218%</a:t>
                      </a:fld>
                      <a:endParaRPr lang="en-US" sz="2000" b="1" i="0" u="none" strike="noStrike">
                        <a:solidFill>
                          <a:srgbClr val="000000"/>
                        </a:solidFill>
                        <a:latin typeface="Calibri"/>
                        <a:ea typeface="Calibri"/>
                        <a:cs typeface="Calibri"/>
                      </a:endParaRPr>
                    </a:p>
                  </xdr:txBody>
                </xdr:sp>
              </xdr:grpSp>
              <xdr:grpSp>
                <xdr:nvGrpSpPr>
                  <xdr:cNvPr id="111" name="Group 110">
                    <a:extLst>
                      <a:ext uri="{FF2B5EF4-FFF2-40B4-BE49-F238E27FC236}">
                        <a16:creationId xmlns:a16="http://schemas.microsoft.com/office/drawing/2014/main" id="{45CFF3D3-A217-EB41-E797-3C0E517B5E28}"/>
                      </a:ext>
                    </a:extLst>
                  </xdr:cNvPr>
                  <xdr:cNvGrpSpPr/>
                </xdr:nvGrpSpPr>
                <xdr:grpSpPr>
                  <a:xfrm>
                    <a:off x="5516880" y="7288567"/>
                    <a:ext cx="1562100" cy="1710690"/>
                    <a:chOff x="5516880" y="7288567"/>
                    <a:chExt cx="1562100" cy="1710690"/>
                  </a:xfrm>
                </xdr:grpSpPr>
                <xdr:graphicFrame macro="">
                  <xdr:nvGraphicFramePr>
                    <xdr:cNvPr id="108" name="Chart 107">
                      <a:extLst>
                        <a:ext uri="{FF2B5EF4-FFF2-40B4-BE49-F238E27FC236}">
                          <a16:creationId xmlns:a16="http://schemas.microsoft.com/office/drawing/2014/main" id="{9FEA8A29-BBE6-4F3D-8385-24FF97A2F85B}"/>
                        </a:ext>
                      </a:extLst>
                    </xdr:cNvPr>
                    <xdr:cNvGraphicFramePr>
                      <a:graphicFrameLocks/>
                    </xdr:cNvGraphicFramePr>
                  </xdr:nvGraphicFramePr>
                  <xdr:xfrm>
                    <a:off x="5516880" y="7288567"/>
                    <a:ext cx="1562100" cy="1710690"/>
                  </xdr:xfrm>
                  <a:graphic>
                    <a:graphicData uri="http://schemas.openxmlformats.org/drawingml/2006/chart">
                      <c:chart xmlns:c="http://schemas.openxmlformats.org/drawingml/2006/chart" xmlns:r="http://schemas.openxmlformats.org/officeDocument/2006/relationships" r:id="rId6"/>
                    </a:graphicData>
                  </a:graphic>
                </xdr:graphicFrame>
                <xdr:sp macro="" textlink="Analysis!R18">
                  <xdr:nvSpPr>
                    <xdr:cNvPr id="87" name="TextBox_proposal">
                      <a:extLst>
                        <a:ext uri="{FF2B5EF4-FFF2-40B4-BE49-F238E27FC236}">
                          <a16:creationId xmlns:a16="http://schemas.microsoft.com/office/drawing/2014/main" id="{A84699DA-4EF1-4970-9DA2-4EED41E79AE6}"/>
                        </a:ext>
                      </a:extLst>
                    </xdr:cNvPr>
                    <xdr:cNvSpPr txBox="1"/>
                  </xdr:nvSpPr>
                  <xdr:spPr>
                    <a:xfrm>
                      <a:off x="5906073" y="7960188"/>
                      <a:ext cx="821294" cy="327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A31734F-F6B7-4326-A80F-BC96B05D2F03}" type="TxLink">
                        <a:rPr lang="en-US" sz="2000" b="1" i="0" u="none" strike="noStrike">
                          <a:solidFill>
                            <a:srgbClr val="000000"/>
                          </a:solidFill>
                          <a:latin typeface="Calibri"/>
                          <a:ea typeface="Calibri"/>
                          <a:cs typeface="Calibri"/>
                        </a:rPr>
                        <a:pPr marL="0" indent="0" algn="ctr"/>
                        <a:t>502%</a:t>
                      </a:fld>
                      <a:endParaRPr lang="en-US" sz="2000" b="1" i="0" u="none" strike="noStrike">
                        <a:solidFill>
                          <a:srgbClr val="000000"/>
                        </a:solidFill>
                        <a:latin typeface="Calibri"/>
                        <a:ea typeface="Calibri"/>
                        <a:cs typeface="Calibri"/>
                      </a:endParaRPr>
                    </a:p>
                  </xdr:txBody>
                </xdr:sp>
              </xdr:grpSp>
              <xdr:grpSp>
                <xdr:nvGrpSpPr>
                  <xdr:cNvPr id="112" name="Group 111">
                    <a:extLst>
                      <a:ext uri="{FF2B5EF4-FFF2-40B4-BE49-F238E27FC236}">
                        <a16:creationId xmlns:a16="http://schemas.microsoft.com/office/drawing/2014/main" id="{940D1DAB-EDBA-C182-7818-59C6BB2BD2A1}"/>
                      </a:ext>
                    </a:extLst>
                  </xdr:cNvPr>
                  <xdr:cNvGrpSpPr/>
                </xdr:nvGrpSpPr>
                <xdr:grpSpPr>
                  <a:xfrm>
                    <a:off x="7536180" y="7288567"/>
                    <a:ext cx="1562100" cy="1710690"/>
                    <a:chOff x="7536180" y="7288567"/>
                    <a:chExt cx="1562100" cy="1710690"/>
                  </a:xfrm>
                </xdr:grpSpPr>
                <xdr:graphicFrame macro="">
                  <xdr:nvGraphicFramePr>
                    <xdr:cNvPr id="109" name="Chart 108">
                      <a:extLst>
                        <a:ext uri="{FF2B5EF4-FFF2-40B4-BE49-F238E27FC236}">
                          <a16:creationId xmlns:a16="http://schemas.microsoft.com/office/drawing/2014/main" id="{B6723CA4-AC2F-4A5D-9390-C6C6DC932196}"/>
                        </a:ext>
                      </a:extLst>
                    </xdr:cNvPr>
                    <xdr:cNvGraphicFramePr>
                      <a:graphicFrameLocks/>
                    </xdr:cNvGraphicFramePr>
                  </xdr:nvGraphicFramePr>
                  <xdr:xfrm>
                    <a:off x="7536180" y="7288567"/>
                    <a:ext cx="1562100" cy="1710690"/>
                  </xdr:xfrm>
                  <a:graphic>
                    <a:graphicData uri="http://schemas.openxmlformats.org/drawingml/2006/chart">
                      <c:chart xmlns:c="http://schemas.openxmlformats.org/drawingml/2006/chart" xmlns:r="http://schemas.openxmlformats.org/officeDocument/2006/relationships" r:id="rId7"/>
                    </a:graphicData>
                  </a:graphic>
                </xdr:graphicFrame>
                <xdr:sp macro="" textlink="Analysis!Y18">
                  <xdr:nvSpPr>
                    <xdr:cNvPr id="86" name="TextBox_proposal">
                      <a:extLst>
                        <a:ext uri="{FF2B5EF4-FFF2-40B4-BE49-F238E27FC236}">
                          <a16:creationId xmlns:a16="http://schemas.microsoft.com/office/drawing/2014/main" id="{55D023E5-13CA-4233-A202-361F1ABFC227}"/>
                        </a:ext>
                      </a:extLst>
                    </xdr:cNvPr>
                    <xdr:cNvSpPr txBox="1"/>
                  </xdr:nvSpPr>
                  <xdr:spPr>
                    <a:xfrm>
                      <a:off x="7946914" y="7956513"/>
                      <a:ext cx="821294" cy="334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16A2CE-5DD0-40BB-A032-311151AADC57}" type="TxLink">
                        <a:rPr lang="en-US" sz="2000" b="1" i="0" u="none" strike="noStrike">
                          <a:solidFill>
                            <a:srgbClr val="000000"/>
                          </a:solidFill>
                          <a:latin typeface="Calibri"/>
                          <a:ea typeface="Calibri"/>
                          <a:cs typeface="Calibri"/>
                        </a:rPr>
                        <a:pPr marL="0" indent="0" algn="ctr"/>
                        <a:t>268%</a:t>
                      </a:fld>
                      <a:endParaRPr lang="en-US" sz="2000" b="1" i="0" u="none" strike="noStrike">
                        <a:solidFill>
                          <a:srgbClr val="000000"/>
                        </a:solidFill>
                        <a:latin typeface="Calibri"/>
                        <a:ea typeface="Calibri"/>
                        <a:cs typeface="Calibri"/>
                      </a:endParaRPr>
                    </a:p>
                  </xdr:txBody>
                </xdr:sp>
              </xdr:grpSp>
            </xdr:grpSp>
          </xdr:grpSp>
          <mc:AlternateContent xmlns:mc="http://schemas.openxmlformats.org/markup-compatibility/2006" xmlns:sle15="http://schemas.microsoft.com/office/drawing/2012/slicer">
            <mc:Choice Requires="sle15">
              <xdr:graphicFrame macro="">
                <xdr:nvGraphicFramePr>
                  <xdr:cNvPr id="121" name="MONTH 5">
                    <a:extLst>
                      <a:ext uri="{FF2B5EF4-FFF2-40B4-BE49-F238E27FC236}">
                        <a16:creationId xmlns:a16="http://schemas.microsoft.com/office/drawing/2014/main" id="{CD027939-06E0-4121-85B6-07AAA65419AD}"/>
                      </a:ext>
                    </a:extLst>
                  </xdr:cNvPr>
                  <xdr:cNvGraphicFramePr/>
                </xdr:nvGraphicFramePr>
                <xdr:xfrm>
                  <a:off x="3162300" y="6370320"/>
                  <a:ext cx="5620205" cy="86868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665702" y="6603555"/>
                    <a:ext cx="5449572" cy="9039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grpSp>
    </xdr:grpSp>
    <xdr:clientData/>
  </xdr:twoCellAnchor>
  <xdr:twoCellAnchor>
    <xdr:from>
      <xdr:col>20</xdr:col>
      <xdr:colOff>171450</xdr:colOff>
      <xdr:row>3</xdr:row>
      <xdr:rowOff>108585</xdr:rowOff>
    </xdr:from>
    <xdr:to>
      <xdr:col>21</xdr:col>
      <xdr:colOff>314326</xdr:colOff>
      <xdr:row>6</xdr:row>
      <xdr:rowOff>76200</xdr:rowOff>
    </xdr:to>
    <xdr:sp macro="" textlink="Analysis!E17">
      <xdr:nvSpPr>
        <xdr:cNvPr id="2" name="TextBox 1">
          <a:extLst>
            <a:ext uri="{FF2B5EF4-FFF2-40B4-BE49-F238E27FC236}">
              <a16:creationId xmlns:a16="http://schemas.microsoft.com/office/drawing/2014/main" id="{C2EE6600-3243-46D6-AA94-CD6A5E03C61A}"/>
            </a:ext>
          </a:extLst>
        </xdr:cNvPr>
        <xdr:cNvSpPr txBox="1"/>
      </xdr:nvSpPr>
      <xdr:spPr>
        <a:xfrm>
          <a:off x="13220700" y="1137285"/>
          <a:ext cx="733426" cy="539115"/>
        </a:xfrm>
        <a:prstGeom prst="rect">
          <a:avLst/>
        </a:prstGeom>
        <a:solidFill>
          <a:schemeClr val="accent1">
            <a:lumMod val="50000"/>
            <a:alpha val="3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409802-EF15-4B46-8895-2F93DEB37F0C}" type="TxLink">
            <a:rPr lang="en-US" sz="2000" b="0" i="0" u="none" strike="noStrike">
              <a:solidFill>
                <a:schemeClr val="bg1"/>
              </a:solidFill>
              <a:latin typeface="Calibri"/>
              <a:ea typeface="Calibri"/>
              <a:cs typeface="Calibri"/>
            </a:rPr>
            <a:pPr marL="0" indent="0" algn="ctr"/>
            <a:t>308%</a:t>
          </a:fld>
          <a:endParaRPr lang="en-US" sz="2000" b="1">
            <a:solidFill>
              <a:schemeClr val="bg1"/>
            </a:solidFill>
            <a:latin typeface="+mn-lt"/>
            <a:ea typeface="+mn-ea"/>
            <a:cs typeface="+mn-cs"/>
          </a:endParaRPr>
        </a:p>
      </xdr:txBody>
    </xdr:sp>
    <xdr:clientData/>
  </xdr:twoCellAnchor>
  <xdr:twoCellAnchor editAs="oneCell">
    <xdr:from>
      <xdr:col>25</xdr:col>
      <xdr:colOff>518159</xdr:colOff>
      <xdr:row>0</xdr:row>
      <xdr:rowOff>74295</xdr:rowOff>
    </xdr:from>
    <xdr:to>
      <xdr:col>27</xdr:col>
      <xdr:colOff>146884</xdr:colOff>
      <xdr:row>0</xdr:row>
      <xdr:rowOff>386715</xdr:rowOff>
    </xdr:to>
    <xdr:sp macro="[0]!Hide_Col" textlink="">
      <xdr:nvSpPr>
        <xdr:cNvPr id="3" name="SHOW_PROFILE">
          <a:extLst>
            <a:ext uri="{FF2B5EF4-FFF2-40B4-BE49-F238E27FC236}">
              <a16:creationId xmlns:a16="http://schemas.microsoft.com/office/drawing/2014/main" id="{374194B2-D207-437E-943E-94886466156D}"/>
            </a:ext>
          </a:extLst>
        </xdr:cNvPr>
        <xdr:cNvSpPr/>
      </xdr:nvSpPr>
      <xdr:spPr>
        <a:xfrm>
          <a:off x="16520159" y="74295"/>
          <a:ext cx="1320165" cy="312420"/>
        </a:xfrm>
        <a:prstGeom prst="roundRect">
          <a:avLst/>
        </a:prstGeom>
        <a:effectLst>
          <a:reflection stA="45000" endPos="37000" dir="5400000" sy="-100000" algn="bl" rotWithShape="0"/>
        </a:effectLst>
        <a:scene3d>
          <a:camera prst="orthographicFront"/>
          <a:lightRig rig="threePt" dir="t"/>
        </a:scene3d>
        <a:sp3d>
          <a:bevelT/>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a:t>UPDATE PROFILE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9525</xdr:colOff>
      <xdr:row>2</xdr:row>
      <xdr:rowOff>7620</xdr:rowOff>
    </xdr:to>
    <xdr:pic>
      <xdr:nvPicPr>
        <xdr:cNvPr id="3" name="Picture 2">
          <a:extLst>
            <a:ext uri="{FF2B5EF4-FFF2-40B4-BE49-F238E27FC236}">
              <a16:creationId xmlns:a16="http://schemas.microsoft.com/office/drawing/2014/main" id="{8163A084-97CE-4645-BEAE-703084DE6A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973050" cy="1903095"/>
        </a:xfrm>
        <a:prstGeom prst="rect">
          <a:avLst/>
        </a:prstGeom>
      </xdr:spPr>
    </xdr:pic>
    <xdr:clientData/>
  </xdr:twoCellAnchor>
  <xdr:twoCellAnchor editAs="oneCell">
    <xdr:from>
      <xdr:col>2</xdr:col>
      <xdr:colOff>144780</xdr:colOff>
      <xdr:row>0</xdr:row>
      <xdr:rowOff>91440</xdr:rowOff>
    </xdr:from>
    <xdr:to>
      <xdr:col>9</xdr:col>
      <xdr:colOff>1664970</xdr:colOff>
      <xdr:row>1</xdr:row>
      <xdr:rowOff>66676</xdr:rowOff>
    </xdr:to>
    <xdr:grpSp>
      <xdr:nvGrpSpPr>
        <xdr:cNvPr id="14" name="Group 13">
          <a:extLst>
            <a:ext uri="{FF2B5EF4-FFF2-40B4-BE49-F238E27FC236}">
              <a16:creationId xmlns:a16="http://schemas.microsoft.com/office/drawing/2014/main" id="{3E8BB497-3660-38E0-BA7C-294A7B93139B}"/>
            </a:ext>
          </a:extLst>
        </xdr:cNvPr>
        <xdr:cNvGrpSpPr/>
      </xdr:nvGrpSpPr>
      <xdr:grpSpPr>
        <a:xfrm>
          <a:off x="144780" y="91440"/>
          <a:ext cx="10999470" cy="1674496"/>
          <a:chOff x="144780" y="91440"/>
          <a:chExt cx="10740390" cy="1680211"/>
        </a:xfrm>
      </xdr:grpSpPr>
      <xdr:pic>
        <xdr:nvPicPr>
          <xdr:cNvPr id="7" name="Picture 6">
            <a:hlinkClick xmlns:r="http://schemas.openxmlformats.org/officeDocument/2006/relationships" r:id="rId2" tooltip="Go To Dashboard"/>
            <a:extLst>
              <a:ext uri="{FF2B5EF4-FFF2-40B4-BE49-F238E27FC236}">
                <a16:creationId xmlns:a16="http://schemas.microsoft.com/office/drawing/2014/main" id="{99BA41D3-61C7-4E79-9BFC-1425991B93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126980" y="116205"/>
            <a:ext cx="727798" cy="535707"/>
          </a:xfrm>
          <a:prstGeom prst="rect">
            <a:avLst/>
          </a:prstGeom>
        </xdr:spPr>
      </xdr:pic>
      <xdr:grpSp>
        <xdr:nvGrpSpPr>
          <xdr:cNvPr id="12" name="Group 11">
            <a:extLst>
              <a:ext uri="{FF2B5EF4-FFF2-40B4-BE49-F238E27FC236}">
                <a16:creationId xmlns:a16="http://schemas.microsoft.com/office/drawing/2014/main" id="{F35C7A4F-8760-19B8-3D54-6EF4F1318A4A}"/>
              </a:ext>
            </a:extLst>
          </xdr:cNvPr>
          <xdr:cNvGrpSpPr/>
        </xdr:nvGrpSpPr>
        <xdr:grpSpPr>
          <a:xfrm>
            <a:off x="8353425" y="771525"/>
            <a:ext cx="2531745" cy="1000126"/>
            <a:chOff x="8353425" y="771525"/>
            <a:chExt cx="2531745" cy="1000126"/>
          </a:xfrm>
        </xdr:grpSpPr>
        <xdr:sp macro="" textlink="">
          <xdr:nvSpPr>
            <xdr:cNvPr id="4" name="Rectangle 3">
              <a:extLst>
                <a:ext uri="{FF2B5EF4-FFF2-40B4-BE49-F238E27FC236}">
                  <a16:creationId xmlns:a16="http://schemas.microsoft.com/office/drawing/2014/main" id="{32622C20-C4DF-4C74-84D7-E42073B75B5F}"/>
                </a:ext>
              </a:extLst>
            </xdr:cNvPr>
            <xdr:cNvSpPr/>
          </xdr:nvSpPr>
          <xdr:spPr>
            <a:xfrm>
              <a:off x="8353425" y="771525"/>
              <a:ext cx="2531745" cy="1000126"/>
            </a:xfrm>
            <a:prstGeom prst="rect">
              <a:avLst/>
            </a:prstGeom>
            <a:gradFill>
              <a:gsLst>
                <a:gs pos="100000">
                  <a:schemeClr val="tx2">
                    <a:lumMod val="60000"/>
                    <a:lumOff val="40000"/>
                  </a:schemeClr>
                </a:gs>
                <a:gs pos="0">
                  <a:schemeClr val="tx2">
                    <a:alpha val="66000"/>
                  </a:schemeClr>
                </a:gs>
              </a:gsLst>
              <a:lin ang="5400000" scaled="1"/>
            </a:gradFill>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1">
          <xdr:nvSpPr>
            <xdr:cNvPr id="5" name="TextBox 4">
              <a:extLst>
                <a:ext uri="{FF2B5EF4-FFF2-40B4-BE49-F238E27FC236}">
                  <a16:creationId xmlns:a16="http://schemas.microsoft.com/office/drawing/2014/main" id="{CEA1675C-9E01-4293-B2B4-E4ED41E5807B}"/>
                </a:ext>
              </a:extLst>
            </xdr:cNvPr>
            <xdr:cNvSpPr txBox="1"/>
          </xdr:nvSpPr>
          <xdr:spPr>
            <a:xfrm>
              <a:off x="9465945" y="1449705"/>
              <a:ext cx="128778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3DC83DD7-D125-471D-BE59-E211F1E25400}" type="TxLink">
                <a:rPr lang="en-US" sz="1100" b="1" i="0" u="none" strike="noStrike">
                  <a:solidFill>
                    <a:schemeClr val="bg1"/>
                  </a:solidFill>
                  <a:latin typeface="Calibri"/>
                  <a:ea typeface="Calibri"/>
                  <a:cs typeface="Calibri"/>
                </a:rPr>
                <a:pPr/>
                <a:t>9/12/23 1:19 AM</a:t>
              </a:fld>
              <a:endParaRPr lang="en-US" sz="1100" b="1">
                <a:solidFill>
                  <a:schemeClr val="bg1"/>
                </a:solidFill>
              </a:endParaRPr>
            </a:p>
          </xdr:txBody>
        </xdr:sp>
        <xdr:sp macro="" textlink="">
          <xdr:nvSpPr>
            <xdr:cNvPr id="6" name="TextBox 5">
              <a:extLst>
                <a:ext uri="{FF2B5EF4-FFF2-40B4-BE49-F238E27FC236}">
                  <a16:creationId xmlns:a16="http://schemas.microsoft.com/office/drawing/2014/main" id="{F0544C60-2B3B-4955-BF37-4ABA741DE1AF}"/>
                </a:ext>
              </a:extLst>
            </xdr:cNvPr>
            <xdr:cNvSpPr txBox="1"/>
          </xdr:nvSpPr>
          <xdr:spPr>
            <a:xfrm>
              <a:off x="8492490" y="1470660"/>
              <a:ext cx="11658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1" i="0" u="none" strike="noStrike">
                  <a:solidFill>
                    <a:schemeClr val="bg1"/>
                  </a:solidFill>
                  <a:latin typeface="Calibri"/>
                  <a:ea typeface="Calibri"/>
                  <a:cs typeface="Calibri"/>
                </a:rPr>
                <a:t>Last Updated:</a:t>
              </a:r>
            </a:p>
          </xdr:txBody>
        </xdr:sp>
        <xdr:sp macro="[0]!Update_Pipeline" textlink="">
          <xdr:nvSpPr>
            <xdr:cNvPr id="8" name="Rectangle: Rounded Corners 7">
              <a:extLst>
                <a:ext uri="{FF2B5EF4-FFF2-40B4-BE49-F238E27FC236}">
                  <a16:creationId xmlns:a16="http://schemas.microsoft.com/office/drawing/2014/main" id="{4F4F247F-385C-F925-194F-14651F92F983}"/>
                </a:ext>
              </a:extLst>
            </xdr:cNvPr>
            <xdr:cNvSpPr/>
          </xdr:nvSpPr>
          <xdr:spPr>
            <a:xfrm>
              <a:off x="9064942" y="1043940"/>
              <a:ext cx="1108710" cy="350520"/>
            </a:xfrm>
            <a:prstGeom prst="roundRect">
              <a:avLst/>
            </a:prstGeom>
            <a:effectLst>
              <a:reflection stA="45000" endPos="37000" dir="5400000" sy="-100000" algn="bl" rotWithShape="0"/>
            </a:effectLst>
            <a:scene3d>
              <a:camera prst="orthographicFront"/>
              <a:lightRig rig="threePt" dir="t"/>
            </a:scene3d>
            <a:sp3d>
              <a:bevelT/>
            </a:sp3d>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100"/>
                <a:t>UPDATE</a:t>
              </a:r>
            </a:p>
          </xdr:txBody>
        </xdr:sp>
      </xdr:grpSp>
      <mc:AlternateContent xmlns:mc="http://schemas.openxmlformats.org/markup-compatibility/2006" xmlns:sle15="http://schemas.microsoft.com/office/drawing/2012/slicer">
        <mc:Choice Requires="sle15">
          <xdr:graphicFrame macro="">
            <xdr:nvGraphicFramePr>
              <xdr:cNvPr id="9" name="MONTH">
                <a:extLst>
                  <a:ext uri="{FF2B5EF4-FFF2-40B4-BE49-F238E27FC236}">
                    <a16:creationId xmlns:a16="http://schemas.microsoft.com/office/drawing/2014/main" id="{140718A8-5339-0F41-06AB-8E4F0214F3FB}"/>
                  </a:ext>
                </a:extLst>
              </xdr:cNvPr>
              <xdr:cNvGraphicFramePr/>
            </xdr:nvGraphicFramePr>
            <xdr:xfrm>
              <a:off x="144780" y="91440"/>
              <a:ext cx="2998470" cy="164211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44780" y="91440"/>
                <a:ext cx="2998470" cy="16421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0" name="STAGE">
                <a:extLst>
                  <a:ext uri="{FF2B5EF4-FFF2-40B4-BE49-F238E27FC236}">
                    <a16:creationId xmlns:a16="http://schemas.microsoft.com/office/drawing/2014/main" id="{AF24EC6E-CA28-36C1-8756-19D1E6CEF639}"/>
                  </a:ext>
                </a:extLst>
              </xdr:cNvPr>
              <xdr:cNvGraphicFramePr/>
            </xdr:nvGraphicFramePr>
            <xdr:xfrm>
              <a:off x="3337559" y="137161"/>
              <a:ext cx="4663441" cy="701039"/>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3337559" y="137161"/>
                <a:ext cx="4663441" cy="7010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1" name="SALES CHANNEL">
                <a:extLst>
                  <a:ext uri="{FF2B5EF4-FFF2-40B4-BE49-F238E27FC236}">
                    <a16:creationId xmlns:a16="http://schemas.microsoft.com/office/drawing/2014/main" id="{22CC8A24-DDA2-1044-C7A6-CA8DB52FC863}"/>
                  </a:ext>
                </a:extLst>
              </xdr:cNvPr>
              <xdr:cNvGraphicFramePr/>
            </xdr:nvGraphicFramePr>
            <xdr:xfrm>
              <a:off x="3307080" y="942976"/>
              <a:ext cx="3798570" cy="67818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3307080" y="942976"/>
                <a:ext cx="3798570" cy="6781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7620</xdr:colOff>
      <xdr:row>2</xdr:row>
      <xdr:rowOff>7620</xdr:rowOff>
    </xdr:to>
    <xdr:pic>
      <xdr:nvPicPr>
        <xdr:cNvPr id="2" name="Picture 1">
          <a:extLst>
            <a:ext uri="{FF2B5EF4-FFF2-40B4-BE49-F238E27FC236}">
              <a16:creationId xmlns:a16="http://schemas.microsoft.com/office/drawing/2014/main" id="{DFA1E546-5B96-4EB3-9E94-D477504FAD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266420" cy="1798320"/>
        </a:xfrm>
        <a:prstGeom prst="rect">
          <a:avLst/>
        </a:prstGeom>
      </xdr:spPr>
    </xdr:pic>
    <xdr:clientData/>
  </xdr:twoCellAnchor>
  <xdr:twoCellAnchor editAs="oneCell">
    <xdr:from>
      <xdr:col>2</xdr:col>
      <xdr:colOff>38101</xdr:colOff>
      <xdr:row>0</xdr:row>
      <xdr:rowOff>85725</xdr:rowOff>
    </xdr:from>
    <xdr:to>
      <xdr:col>11</xdr:col>
      <xdr:colOff>975448</xdr:colOff>
      <xdr:row>1</xdr:row>
      <xdr:rowOff>66676</xdr:rowOff>
    </xdr:to>
    <xdr:grpSp>
      <xdr:nvGrpSpPr>
        <xdr:cNvPr id="6" name="Group 5">
          <a:extLst>
            <a:ext uri="{FF2B5EF4-FFF2-40B4-BE49-F238E27FC236}">
              <a16:creationId xmlns:a16="http://schemas.microsoft.com/office/drawing/2014/main" id="{680208F3-2BA6-D1DE-4358-600F18437D08}"/>
            </a:ext>
          </a:extLst>
        </xdr:cNvPr>
        <xdr:cNvGrpSpPr/>
      </xdr:nvGrpSpPr>
      <xdr:grpSpPr>
        <a:xfrm>
          <a:off x="38101" y="85725"/>
          <a:ext cx="11353887" cy="1520191"/>
          <a:chOff x="2105026" y="85725"/>
          <a:chExt cx="11071947" cy="1524001"/>
        </a:xfrm>
      </xdr:grpSpPr>
      <mc:AlternateContent xmlns:mc="http://schemas.openxmlformats.org/markup-compatibility/2006" xmlns:sle15="http://schemas.microsoft.com/office/drawing/2012/slicer">
        <mc:Choice Requires="sle15">
          <xdr:graphicFrame macro="">
            <xdr:nvGraphicFramePr>
              <xdr:cNvPr id="3" name="MONTH 1">
                <a:extLst>
                  <a:ext uri="{FF2B5EF4-FFF2-40B4-BE49-F238E27FC236}">
                    <a16:creationId xmlns:a16="http://schemas.microsoft.com/office/drawing/2014/main" id="{D9643CE2-826F-1C9B-0719-4CD400ECD87C}"/>
                  </a:ext>
                </a:extLst>
              </xdr:cNvPr>
              <xdr:cNvGraphicFramePr/>
            </xdr:nvGraphicFramePr>
            <xdr:xfrm>
              <a:off x="2105026" y="137159"/>
              <a:ext cx="4114799" cy="1453516"/>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105026" y="137159"/>
                <a:ext cx="4114799" cy="14535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4" name="SALES CHANNEL 1">
                <a:extLst>
                  <a:ext uri="{FF2B5EF4-FFF2-40B4-BE49-F238E27FC236}">
                    <a16:creationId xmlns:a16="http://schemas.microsoft.com/office/drawing/2014/main" id="{2F398D05-7E8B-A70D-A412-6CF5F666842B}"/>
                  </a:ext>
                </a:extLst>
              </xdr:cNvPr>
              <xdr:cNvGraphicFramePr/>
            </xdr:nvGraphicFramePr>
            <xdr:xfrm>
              <a:off x="6296023" y="148591"/>
              <a:ext cx="3686177" cy="632459"/>
            </xdr:xfrm>
            <a:graphic>
              <a:graphicData uri="http://schemas.microsoft.com/office/drawing/2010/slicer">
                <sle:slicer xmlns:sle="http://schemas.microsoft.com/office/drawing/2010/slicer" name="SALES CHANNEL 1"/>
              </a:graphicData>
            </a:graphic>
          </xdr:graphicFrame>
        </mc:Choice>
        <mc:Fallback xmlns="">
          <xdr:sp macro="" textlink="">
            <xdr:nvSpPr>
              <xdr:cNvPr id="0" name=""/>
              <xdr:cNvSpPr>
                <a:spLocks noTextEdit="1"/>
              </xdr:cNvSpPr>
            </xdr:nvSpPr>
            <xdr:spPr>
              <a:xfrm>
                <a:off x="6296023" y="148591"/>
                <a:ext cx="3686177" cy="63245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5" name="PAID STATUS">
                <a:extLst>
                  <a:ext uri="{FF2B5EF4-FFF2-40B4-BE49-F238E27FC236}">
                    <a16:creationId xmlns:a16="http://schemas.microsoft.com/office/drawing/2014/main" id="{7E940191-443A-4BC9-6552-3DC5007E2DDA}"/>
                  </a:ext>
                </a:extLst>
              </xdr:cNvPr>
              <xdr:cNvGraphicFramePr/>
            </xdr:nvGraphicFramePr>
            <xdr:xfrm>
              <a:off x="6276975" y="834391"/>
              <a:ext cx="3714750" cy="765810"/>
            </xdr:xfrm>
            <a:graphic>
              <a:graphicData uri="http://schemas.microsoft.com/office/drawing/2010/slicer">
                <sle:slicer xmlns:sle="http://schemas.microsoft.com/office/drawing/2010/slicer" name="PAID STATUS"/>
              </a:graphicData>
            </a:graphic>
          </xdr:graphicFrame>
        </mc:Choice>
        <mc:Fallback xmlns="">
          <xdr:sp macro="" textlink="">
            <xdr:nvSpPr>
              <xdr:cNvPr id="0" name=""/>
              <xdr:cNvSpPr>
                <a:spLocks noTextEdit="1"/>
              </xdr:cNvSpPr>
            </xdr:nvSpPr>
            <xdr:spPr>
              <a:xfrm>
                <a:off x="6276975" y="834391"/>
                <a:ext cx="3714750" cy="7658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nvGrpSpPr>
          <xdr:cNvPr id="15" name="Group 14">
            <a:extLst>
              <a:ext uri="{FF2B5EF4-FFF2-40B4-BE49-F238E27FC236}">
                <a16:creationId xmlns:a16="http://schemas.microsoft.com/office/drawing/2014/main" id="{632044BC-2D02-D0D4-8496-A5DFE8EB5E91}"/>
              </a:ext>
            </a:extLst>
          </xdr:cNvPr>
          <xdr:cNvGrpSpPr/>
        </xdr:nvGrpSpPr>
        <xdr:grpSpPr>
          <a:xfrm>
            <a:off x="10015150" y="85725"/>
            <a:ext cx="2376875" cy="1524001"/>
            <a:chOff x="10015150" y="85725"/>
            <a:chExt cx="2376875" cy="1524001"/>
          </a:xfrm>
        </xdr:grpSpPr>
        <xdr:sp macro="" textlink="">
          <xdr:nvSpPr>
            <xdr:cNvPr id="7" name="Rectangle 6">
              <a:extLst>
                <a:ext uri="{FF2B5EF4-FFF2-40B4-BE49-F238E27FC236}">
                  <a16:creationId xmlns:a16="http://schemas.microsoft.com/office/drawing/2014/main" id="{2AD55D1C-5AFD-31CE-57B8-45EC8F4397EF}"/>
                </a:ext>
              </a:extLst>
            </xdr:cNvPr>
            <xdr:cNvSpPr/>
          </xdr:nvSpPr>
          <xdr:spPr>
            <a:xfrm>
              <a:off x="10062775" y="85725"/>
              <a:ext cx="2329250" cy="1524001"/>
            </a:xfrm>
            <a:prstGeom prst="rect">
              <a:avLst/>
            </a:prstGeom>
            <a:gradFill>
              <a:gsLst>
                <a:gs pos="100000">
                  <a:schemeClr val="tx2">
                    <a:lumMod val="60000"/>
                    <a:lumOff val="40000"/>
                  </a:schemeClr>
                </a:gs>
                <a:gs pos="0">
                  <a:schemeClr val="tx2">
                    <a:alpha val="66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Analysis!F24">
          <xdr:nvSpPr>
            <xdr:cNvPr id="8" name="TextBox 7">
              <a:extLst>
                <a:ext uri="{FF2B5EF4-FFF2-40B4-BE49-F238E27FC236}">
                  <a16:creationId xmlns:a16="http://schemas.microsoft.com/office/drawing/2014/main" id="{DCDD973A-AE1A-729B-3A4F-3AE156DAB9CA}"/>
                </a:ext>
              </a:extLst>
            </xdr:cNvPr>
            <xdr:cNvSpPr txBox="1"/>
          </xdr:nvSpPr>
          <xdr:spPr>
            <a:xfrm>
              <a:off x="11408287" y="284502"/>
              <a:ext cx="828736" cy="424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F0AEB99-B19B-4886-841B-542E5B51BD44}" type="TxLink">
                <a:rPr lang="en-US" sz="1600" b="1" i="0" u="none" strike="noStrike">
                  <a:solidFill>
                    <a:schemeClr val="bg1"/>
                  </a:solidFill>
                  <a:latin typeface="Calibri"/>
                  <a:ea typeface="+mn-ea"/>
                  <a:cs typeface="Calibri"/>
                </a:rPr>
                <a:pPr marL="0" indent="0"/>
                <a:t>$3,310</a:t>
              </a:fld>
              <a:endParaRPr lang="en-US" sz="1600" b="1" i="0" u="none" strike="noStrike">
                <a:solidFill>
                  <a:schemeClr val="bg1"/>
                </a:solidFill>
                <a:latin typeface="Calibri"/>
                <a:ea typeface="+mn-ea"/>
                <a:cs typeface="Calibri"/>
              </a:endParaRPr>
            </a:p>
          </xdr:txBody>
        </xdr:sp>
        <xdr:sp macro="" textlink="">
          <xdr:nvSpPr>
            <xdr:cNvPr id="9" name="TextBox 8">
              <a:extLst>
                <a:ext uri="{FF2B5EF4-FFF2-40B4-BE49-F238E27FC236}">
                  <a16:creationId xmlns:a16="http://schemas.microsoft.com/office/drawing/2014/main" id="{778942B4-95C2-A808-BD2D-4A31302EDE22}"/>
                </a:ext>
              </a:extLst>
            </xdr:cNvPr>
            <xdr:cNvSpPr txBox="1"/>
          </xdr:nvSpPr>
          <xdr:spPr>
            <a:xfrm>
              <a:off x="10015150" y="125541"/>
              <a:ext cx="1716404" cy="341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chemeClr val="bg1"/>
                  </a:solidFill>
                  <a:latin typeface="Calibri"/>
                  <a:ea typeface="+mn-ea"/>
                  <a:cs typeface="Calibri"/>
                </a:rPr>
                <a:t>YTD COMMISSION PAID</a:t>
              </a:r>
            </a:p>
          </xdr:txBody>
        </xdr:sp>
        <xdr:sp macro="" textlink="">
          <xdr:nvSpPr>
            <xdr:cNvPr id="10" name="TextBox 9">
              <a:extLst>
                <a:ext uri="{FF2B5EF4-FFF2-40B4-BE49-F238E27FC236}">
                  <a16:creationId xmlns:a16="http://schemas.microsoft.com/office/drawing/2014/main" id="{4C476AA7-E756-298E-1E45-049B9A45598B}"/>
                </a:ext>
              </a:extLst>
            </xdr:cNvPr>
            <xdr:cNvSpPr txBox="1"/>
          </xdr:nvSpPr>
          <xdr:spPr>
            <a:xfrm>
              <a:off x="10015150" y="561038"/>
              <a:ext cx="1767276" cy="399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chemeClr val="bg1"/>
                  </a:solidFill>
                  <a:latin typeface="Calibri"/>
                  <a:ea typeface="+mn-ea"/>
                  <a:cs typeface="Calibri"/>
                </a:rPr>
                <a:t>COMMISSION PENDING</a:t>
              </a:r>
            </a:p>
          </xdr:txBody>
        </xdr:sp>
        <xdr:sp macro="" textlink="">
          <xdr:nvSpPr>
            <xdr:cNvPr id="11" name="TextBox 10">
              <a:extLst>
                <a:ext uri="{FF2B5EF4-FFF2-40B4-BE49-F238E27FC236}">
                  <a16:creationId xmlns:a16="http://schemas.microsoft.com/office/drawing/2014/main" id="{EEAD4824-3FE8-D020-3858-B1240544CC91}"/>
                </a:ext>
              </a:extLst>
            </xdr:cNvPr>
            <xdr:cNvSpPr txBox="1"/>
          </xdr:nvSpPr>
          <xdr:spPr>
            <a:xfrm>
              <a:off x="10015150" y="1018551"/>
              <a:ext cx="1544463" cy="399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b="1" i="0" u="none" strike="noStrike">
                  <a:solidFill>
                    <a:schemeClr val="bg1"/>
                  </a:solidFill>
                  <a:latin typeface="Calibri"/>
                  <a:ea typeface="+mn-ea"/>
                  <a:cs typeface="Calibri"/>
                </a:rPr>
                <a:t>ON</a:t>
              </a:r>
              <a:r>
                <a:rPr lang="en-US" sz="1200" b="1" i="0" u="none" strike="noStrike" baseline="0">
                  <a:solidFill>
                    <a:schemeClr val="bg1"/>
                  </a:solidFill>
                  <a:latin typeface="Calibri"/>
                  <a:ea typeface="+mn-ea"/>
                  <a:cs typeface="Calibri"/>
                </a:rPr>
                <a:t> CREDIT HOLD</a:t>
              </a:r>
              <a:endParaRPr lang="en-US" sz="1200" b="1" i="0" u="none" strike="noStrike">
                <a:solidFill>
                  <a:schemeClr val="bg1"/>
                </a:solidFill>
                <a:latin typeface="Calibri"/>
                <a:ea typeface="+mn-ea"/>
                <a:cs typeface="Calibri"/>
              </a:endParaRPr>
            </a:p>
          </xdr:txBody>
        </xdr:sp>
        <xdr:sp macro="" textlink="Analysis!F25">
          <xdr:nvSpPr>
            <xdr:cNvPr id="12" name="TextBox 11">
              <a:extLst>
                <a:ext uri="{FF2B5EF4-FFF2-40B4-BE49-F238E27FC236}">
                  <a16:creationId xmlns:a16="http://schemas.microsoft.com/office/drawing/2014/main" id="{06444EA9-C13A-D5D3-B833-6A8E9E8A0D80}"/>
                </a:ext>
              </a:extLst>
            </xdr:cNvPr>
            <xdr:cNvSpPr txBox="1"/>
          </xdr:nvSpPr>
          <xdr:spPr>
            <a:xfrm>
              <a:off x="11408287" y="742015"/>
              <a:ext cx="778509" cy="474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F86045B-E0C9-44F7-BA84-308A99154A16}" type="TxLink">
                <a:rPr lang="en-US" sz="1600" b="1" i="0" u="none" strike="noStrike">
                  <a:solidFill>
                    <a:schemeClr val="bg1"/>
                  </a:solidFill>
                  <a:latin typeface="Calibri"/>
                  <a:ea typeface="+mn-ea"/>
                  <a:cs typeface="Calibri"/>
                </a:rPr>
                <a:pPr marL="0" indent="0"/>
                <a:t>$2,573</a:t>
              </a:fld>
              <a:endParaRPr lang="en-US" sz="1600" b="1" i="0" u="none" strike="noStrike">
                <a:solidFill>
                  <a:schemeClr val="bg1"/>
                </a:solidFill>
                <a:latin typeface="Calibri"/>
                <a:ea typeface="+mn-ea"/>
                <a:cs typeface="Calibri"/>
              </a:endParaRPr>
            </a:p>
          </xdr:txBody>
        </xdr:sp>
        <xdr:sp macro="" textlink="Analysis!F26">
          <xdr:nvSpPr>
            <xdr:cNvPr id="13" name="TextBox 12">
              <a:extLst>
                <a:ext uri="{FF2B5EF4-FFF2-40B4-BE49-F238E27FC236}">
                  <a16:creationId xmlns:a16="http://schemas.microsoft.com/office/drawing/2014/main" id="{9E2C01F4-87B1-B9FD-6FAA-0A1ABCEB1CB7}"/>
                </a:ext>
              </a:extLst>
            </xdr:cNvPr>
            <xdr:cNvSpPr txBox="1"/>
          </xdr:nvSpPr>
          <xdr:spPr>
            <a:xfrm>
              <a:off x="11408287" y="1151901"/>
              <a:ext cx="907537" cy="424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EC6E156-B7C4-4AAF-B9D2-24BA809B48A1}" type="TxLink">
                <a:rPr lang="en-US" sz="1600" b="1" i="0" u="none" strike="noStrike">
                  <a:solidFill>
                    <a:schemeClr val="bg1"/>
                  </a:solidFill>
                  <a:latin typeface="Calibri"/>
                  <a:ea typeface="+mn-ea"/>
                  <a:cs typeface="Calibri"/>
                </a:rPr>
                <a:pPr marL="0" indent="0"/>
                <a:t>$614</a:t>
              </a:fld>
              <a:endParaRPr lang="en-US" sz="1600" b="1" i="0" u="none" strike="noStrike">
                <a:solidFill>
                  <a:schemeClr val="bg1"/>
                </a:solidFill>
                <a:latin typeface="Calibri"/>
                <a:ea typeface="+mn-ea"/>
                <a:cs typeface="Calibri"/>
              </a:endParaRPr>
            </a:p>
          </xdr:txBody>
        </xdr:sp>
      </xdr:grpSp>
      <xdr:pic>
        <xdr:nvPicPr>
          <xdr:cNvPr id="14" name="Picture 13">
            <a:hlinkClick xmlns:r="http://schemas.openxmlformats.org/officeDocument/2006/relationships" r:id="rId2" tooltip="Go To Dashboard"/>
            <a:extLst>
              <a:ext uri="{FF2B5EF4-FFF2-40B4-BE49-F238E27FC236}">
                <a16:creationId xmlns:a16="http://schemas.microsoft.com/office/drawing/2014/main" id="{8DA4DF55-7C31-4164-8062-030B45225F3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470130" y="89535"/>
            <a:ext cx="706843" cy="537612"/>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7620</xdr:colOff>
      <xdr:row>2</xdr:row>
      <xdr:rowOff>15240</xdr:rowOff>
    </xdr:to>
    <xdr:pic>
      <xdr:nvPicPr>
        <xdr:cNvPr id="10" name="Picture 9">
          <a:extLst>
            <a:ext uri="{FF2B5EF4-FFF2-40B4-BE49-F238E27FC236}">
              <a16:creationId xmlns:a16="http://schemas.microsoft.com/office/drawing/2014/main" id="{139811BF-35E2-4D1D-AF72-D82BF66FDA9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3152120" cy="1661160"/>
        </a:xfrm>
        <a:prstGeom prst="rect">
          <a:avLst/>
        </a:prstGeom>
      </xdr:spPr>
    </xdr:pic>
    <xdr:clientData/>
  </xdr:twoCellAnchor>
  <xdr:twoCellAnchor editAs="oneCell">
    <xdr:from>
      <xdr:col>2</xdr:col>
      <xdr:colOff>259080</xdr:colOff>
      <xdr:row>0</xdr:row>
      <xdr:rowOff>121921</xdr:rowOff>
    </xdr:from>
    <xdr:to>
      <xdr:col>10</xdr:col>
      <xdr:colOff>594448</xdr:colOff>
      <xdr:row>1</xdr:row>
      <xdr:rowOff>85725</xdr:rowOff>
    </xdr:to>
    <xdr:grpSp>
      <xdr:nvGrpSpPr>
        <xdr:cNvPr id="2" name="Group 1">
          <a:extLst>
            <a:ext uri="{FF2B5EF4-FFF2-40B4-BE49-F238E27FC236}">
              <a16:creationId xmlns:a16="http://schemas.microsoft.com/office/drawing/2014/main" id="{780F965F-406F-228F-27FF-F70F1466C457}"/>
            </a:ext>
          </a:extLst>
        </xdr:cNvPr>
        <xdr:cNvGrpSpPr/>
      </xdr:nvGrpSpPr>
      <xdr:grpSpPr>
        <a:xfrm>
          <a:off x="259080" y="121921"/>
          <a:ext cx="8100148" cy="1426844"/>
          <a:chOff x="259080" y="121921"/>
          <a:chExt cx="7888693" cy="1421129"/>
        </a:xfrm>
      </xdr:grpSpPr>
      <xdr:pic>
        <xdr:nvPicPr>
          <xdr:cNvPr id="11" name="Picture 10">
            <a:hlinkClick xmlns:r="http://schemas.openxmlformats.org/officeDocument/2006/relationships" r:id="rId2" tooltip="Go To Dashboard"/>
            <a:extLst>
              <a:ext uri="{FF2B5EF4-FFF2-40B4-BE49-F238E27FC236}">
                <a16:creationId xmlns:a16="http://schemas.microsoft.com/office/drawing/2014/main" id="{A357109F-2ED8-452D-BC55-9724BE62242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486650" y="152400"/>
            <a:ext cx="661123" cy="545232"/>
          </a:xfrm>
          <a:prstGeom prst="rect">
            <a:avLst/>
          </a:prstGeom>
        </xdr:spPr>
      </xdr:pic>
      <mc:AlternateContent xmlns:mc="http://schemas.openxmlformats.org/markup-compatibility/2006" xmlns:sle15="http://schemas.microsoft.com/office/drawing/2012/slicer">
        <mc:Choice Requires="sle15">
          <xdr:graphicFrame macro="">
            <xdr:nvGraphicFramePr>
              <xdr:cNvPr id="12" name="MONTH 2">
                <a:extLst>
                  <a:ext uri="{FF2B5EF4-FFF2-40B4-BE49-F238E27FC236}">
                    <a16:creationId xmlns:a16="http://schemas.microsoft.com/office/drawing/2014/main" id="{67FDEEB7-3FEB-E807-1925-2C53A6939E25}"/>
                  </a:ext>
                </a:extLst>
              </xdr:cNvPr>
              <xdr:cNvGraphicFramePr/>
            </xdr:nvGraphicFramePr>
            <xdr:xfrm>
              <a:off x="259080" y="137161"/>
              <a:ext cx="4884420" cy="1405889"/>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249805" y="137161"/>
                <a:ext cx="4884420" cy="140588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mc:AlternateContent xmlns:mc="http://schemas.openxmlformats.org/markup-compatibility/2006" xmlns:sle15="http://schemas.microsoft.com/office/drawing/2012/slicer">
        <mc:Choice Requires="sle15">
          <xdr:graphicFrame macro="">
            <xdr:nvGraphicFramePr>
              <xdr:cNvPr id="13" name="SALES CHANNEL 2">
                <a:extLst>
                  <a:ext uri="{FF2B5EF4-FFF2-40B4-BE49-F238E27FC236}">
                    <a16:creationId xmlns:a16="http://schemas.microsoft.com/office/drawing/2014/main" id="{EB8686EF-2870-DBE6-DA43-CC2AAAF86719}"/>
                  </a:ext>
                </a:extLst>
              </xdr:cNvPr>
              <xdr:cNvGraphicFramePr/>
            </xdr:nvGraphicFramePr>
            <xdr:xfrm>
              <a:off x="5337810" y="121921"/>
              <a:ext cx="1939290" cy="1411604"/>
            </xdr:xfrm>
            <a:graphic>
              <a:graphicData uri="http://schemas.microsoft.com/office/drawing/2010/slicer">
                <sle:slicer xmlns:sle="http://schemas.microsoft.com/office/drawing/2010/slicer" name="SALES CHANNEL 2"/>
              </a:graphicData>
            </a:graphic>
          </xdr:graphicFrame>
        </mc:Choice>
        <mc:Fallback xmlns="">
          <xdr:sp macro="" textlink="">
            <xdr:nvSpPr>
              <xdr:cNvPr id="0" name=""/>
              <xdr:cNvSpPr>
                <a:spLocks noTextEdit="1"/>
              </xdr:cNvSpPr>
            </xdr:nvSpPr>
            <xdr:spPr>
              <a:xfrm>
                <a:off x="7328535" y="121921"/>
                <a:ext cx="1939290" cy="141160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efreshedDate="45181.055552314814" createdVersion="8" refreshedVersion="8" minRefreshableVersion="3" recordCount="57" xr:uid="{0FE50006-31CB-492D-B6F4-054BFA4B7491}">
  <cacheSource type="worksheet">
    <worksheetSource name="Pipe"/>
  </cacheSource>
  <cacheFields count="10">
    <cacheField name="SALES ASSOCIATE" numFmtId="0">
      <sharedItems/>
    </cacheField>
    <cacheField name="MONTH" numFmtId="0">
      <sharedItems count="12">
        <s v="OCTOBER"/>
        <s v="NOVEMBER"/>
        <s v="DECEMBER"/>
        <s v="SEPTEMBER" u="1"/>
        <s v="JANUARY" u="1"/>
        <s v="FEBRUARY" u="1"/>
        <s v="MARCH" u="1"/>
        <s v="APRIL" u="1"/>
        <s v="MAY" u="1"/>
        <s v="JUNE" u="1"/>
        <s v="JULY" u="1"/>
        <s v="AUGUST" u="1"/>
      </sharedItems>
    </cacheField>
    <cacheField name="ACCOUNT NAME" numFmtId="0">
      <sharedItems count="239">
        <s v="Dark Moon Industrial"/>
        <s v="Influence Care Inc."/>
        <s v="Embassy Motors"/>
        <s v="Capital Success"/>
        <s v="Fire Dynamite Capital"/>
        <s v="Wind Magnet Powers"/>
        <s v="Sea Wealth "/>
        <s v="Lunn Communications"/>
        <s v="IntroComp"/>
        <s v="Menty Broadcasting"/>
        <s v="Half Track Media"/>
        <s v="Pastric LLC"/>
        <s v="Brick Front Centers"/>
        <s v="DY Industry"/>
        <s v="Chemical Lifestyle"/>
        <s v="Over Twain Healthcare"/>
        <s v="Life Automotive"/>
        <s v="Principal Vets"/>
        <s v="Mark &amp; Mark Law Associates"/>
        <s v="Mine Fort Enterprise"/>
        <s v="Influence Track LLC"/>
        <s v="BB Catering"/>
        <s v="Pitt Evers Education"/>
        <s v="Pep Omni Capital"/>
        <s v="Think Holdings"/>
        <s v="Hand Therapy Centers"/>
        <s v="South Center Education"/>
        <s v="Strong Ridge"/>
        <s v="Monscoop Media"/>
        <s v="Villa Taxes"/>
        <s v="Ambish Child"/>
        <s v="Great Beat Media"/>
        <s v="Mount Freeman LLC"/>
        <s v="Six and Might"/>
        <s v="Renew Merge"/>
        <s v="Mastermind Challenge"/>
        <s v="Smiles Fairy Dentist"/>
        <s v="Plain Night Advertisers"/>
        <s v="Civil Engineering Company"/>
        <s v="Equal Dynamit Inc."/>
        <s v="National Media Live"/>
        <s v="Fellow Prime Time"/>
        <s v="Convenience Energy "/>
        <s v="Ideal Nutrition Enterprise"/>
        <s v="Grand Marketing "/>
        <s v="One Just Products"/>
        <s v="Energy Night Solutions"/>
        <s v="Guhn Enterprise"/>
        <s v="Liquid Dynasty Inc."/>
        <s v="Gerald Motor &amp; Tires"/>
        <s v="Flat Server"/>
        <s v="Pest Scoon LLC"/>
        <s v="48 Night Media"/>
        <s v="Optical Land Enterprise"/>
        <s v="Crank Success University"/>
        <s v="Hard Try Motors"/>
        <s v="Micro Waste Solutions" u="1"/>
        <s v="General Commerce Inc." u="1"/>
        <s v="TNR Medical" u="1"/>
        <s v="Media Republic" u="1"/>
        <s v="DC Storage" u="1"/>
        <s v="National Gear Partners" u="1"/>
        <s v="Regional Food Associates" u="1"/>
        <s v="Larry Paint &amp; More" u="1"/>
        <s v="Home Gallery Practice" u="1"/>
        <s v="CBT Industrial" u="1"/>
        <s v="Grant Foundation LLC" u="1"/>
        <s v="Villa Mountain Association" u="1"/>
        <s v="Head Interamerican LLC" u="1"/>
        <s v="Science Laboratory" u="1"/>
        <s v="Fitness USA Partners" u="1"/>
        <s v="Kyle Enterprise" u="1"/>
        <s v="Noble Digital Media" u="1"/>
        <s v="ABC Charter Enterprise" u="1"/>
        <s v="Amish Electrical" u="1"/>
        <s v="Cheek Furniture Gallery" u="1"/>
        <s v="America Landing Solutions" u="1"/>
        <s v="JK Automotive" u="1"/>
        <s v="Zone K Tires" u="1"/>
        <s v="Penners Gallery" u="1"/>
        <s v="Hammond Pawalk Law Firm" u="1"/>
        <s v="CC Wholesale Beverages" u="1"/>
        <s v="Law Richardson &amp; Andrew" u="1"/>
        <s v="Lighthouse Materials LLC" u="1"/>
        <s v="RoadHouse Entertainment" u="1"/>
        <s v="Wright Communications" u="1"/>
        <s v="Wrench Turn" u="1"/>
        <s v="Morgan &amp; Morgan Law" u="1"/>
        <s v="MB Media" u="1"/>
        <s v="Manshire Advertisers" u="1"/>
        <s v="TMJ Pizza Wholesalers" u="1"/>
        <s v="Lay Wright Enterprises" u="1"/>
        <s v="Cook B LLC" u="1"/>
        <s v="109 Solutions LLC" u="1"/>
        <s v="Popeye Packaging Inc." u="1"/>
        <s v="DRS Notary" u="1"/>
        <s v="TM AUTOMOTIVE" u="1"/>
        <s v="Ansley Marketing" u="1"/>
        <s v="Taylor Automotive" u="1"/>
        <s v="Wheels &amp; Deals Automotive" u="1"/>
        <s v="Now Utilities" u="1"/>
        <s v="RCN Corporation" u="1"/>
        <s v="Ice Scream Creamers" u="1"/>
        <s v="Hill Count Interiors" u="1"/>
        <s v="Haile Repair" u="1"/>
        <s v="Osmo Today Systems" u="1"/>
        <s v="WeCare Repair" u="1"/>
        <s v="Davenport Entertainment" u="1"/>
        <s v="Rhino Environmental" u="1"/>
        <s v="YT Vision" u="1"/>
        <s v="Rockport Dentistry" u="1"/>
        <s v="Nakata " u="1"/>
        <s v="Harper J Law &amp; Services" u="1"/>
        <s v="Rivera Law Firm" u="1"/>
        <s v="ECCVI University" u="1"/>
        <s v="Ralston LLC" u="1"/>
        <s v="Spice Wholesale" u="1"/>
        <s v="Miles Industrial " u="1"/>
        <s v="H &amp; L Enterprises" u="1"/>
        <s v="Farly International" u="1"/>
        <s v="Foremore Entertainment" u="1"/>
        <s v="Compere Communications" u="1"/>
        <s v="Byrd Technologies" u="1"/>
        <s v="Rodburger Enterprises" u="1"/>
        <s v="Long Gone Industrial" u="1"/>
        <s v="Pro Tools Warehouse" u="1"/>
        <s v="BlackBurn Music" u="1"/>
        <s v="Stonekey Manufacturing" u="1"/>
        <s v="Pint Gallery Express" u="1"/>
        <s v="Digital Pancare Media" u="1"/>
        <s v="Metropolitan Constructions Services" u="1"/>
        <s v="EnTrue Properties" u="1"/>
        <s v="Mercy Hook Law" u="1"/>
        <s v="M &amp; C Law" u="1"/>
        <s v="Prescriptions Made Fresh" u="1"/>
        <s v="BBC Warehouse" u="1"/>
        <s v="CDM Auto Repair" u="1"/>
        <s v="Charter Communications" u="1"/>
        <s v="American TeaCast House" u="1"/>
        <s v="FireHouse Vision" u="1"/>
        <s v="Community Wellness" u="1"/>
        <s v="Living Central Air " u="1"/>
        <s v="Solar Westshield" u="1"/>
        <s v="World Micro Electronics" u="1"/>
        <s v="Outy Furnitures" u="1"/>
        <s v="Chelsea MegaStore" u="1"/>
        <s v="Rock Medellin Modeling" u="1"/>
        <s v="Aches &amp; Ramos LLC" u="1"/>
        <s v="CakeTops &amp; Top Bakery" u="1"/>
        <s v="First Environment" u="1"/>
        <s v="River Protection Association" u="1"/>
        <s v="EXP Generators" u="1"/>
        <s v="King Tires LLC" u="1"/>
        <s v="Blue Diamond Wellness Center" u="1"/>
        <s v="Collision San Antonio" u="1"/>
        <s v="Distric Eds " u="1"/>
        <s v="Yellow Daycare" u="1"/>
        <s v="Cornerstone Enterprises" u="1"/>
        <s v="RC Law Firm " u="1"/>
        <s v="Title Apartments" u="1"/>
        <s v="Miracle Ingredients" u="1"/>
        <s v="Holland Motorcars" u="1"/>
        <s v="Rose Catering" u="1"/>
        <s v="Nobile Mechanics" u="1"/>
        <s v="Riot Media Services" u="1"/>
        <s v="Boots Catering" u="1"/>
        <s v="West Shore United" u="1"/>
        <s v="Sleep Optum Express" u="1"/>
        <s v="Reese Protective Gear" u="1"/>
        <s v="All Mighty Services" u="1"/>
        <s v="518 Media" u="1"/>
        <s v="Love &amp; Décor Services" u="1"/>
        <s v="Megan Fitness" u="1"/>
        <s v="Unitime Cabinets" u="1"/>
        <s v="J&amp;B Lawn Care" u="1"/>
        <s v="Weizmann Storage" u="1"/>
        <s v="Rhino Rescue Energy" u="1"/>
        <s v="Evermore Clinical" u="1"/>
        <s v="Greenview Enterprises" u="1"/>
        <s v="PG Law Associates" u="1"/>
        <s v="Verdict Enterprises" u="1"/>
        <s v="Rick Autoparts" u="1"/>
        <s v="DJ Entertainment" u="1"/>
        <s v="Garry ADVERTISERS" u="1"/>
        <s v="One Water Center" u="1"/>
        <s v="My Econo Optical" u="1"/>
        <s v="Louis Entertainment" u="1"/>
        <s v="Victor Tiles" u="1"/>
        <s v="Katai Technologies" u="1"/>
        <s v="HB Ruddkin" u="1"/>
        <s v="QVT Management" u="1"/>
        <s v="Harl &amp; Harl Enterprises" u="1"/>
        <s v="Long Tide Services" u="1"/>
        <s v="Tower Audio LLC" u="1"/>
        <s v="Chatterjee Enterprises" u="1"/>
        <s v="Gillman Fashion" u="1"/>
        <s v="YG Outlets" u="1"/>
        <s v="American Mobile League" u="1"/>
        <s v="Express Engine LLC" u="1"/>
        <s v="Steel Imagery" u="1"/>
        <s v="Trevor Productions" u="1"/>
        <s v="Kooper Colleges" u="1"/>
        <s v="PGT Wellness" u="1"/>
        <s v="Decision Data LLC" u="1"/>
        <s v="TriVerse Wish" u="1"/>
        <s v="Telegar Health" u="1"/>
        <s v="Speedway Auto" u="1"/>
        <s v="Mammoth Pools" u="1"/>
        <s v="Audio Care Health" u="1"/>
        <s v="Tresh Sock Associates" u="1"/>
        <s v="UTV Health Centers" u="1"/>
        <s v="Lokdish Ordinance" u="1"/>
        <s v="Villa Bourne Colleges" u="1"/>
        <s v="McMillan Furniture" u="1"/>
        <s v="Kids Garden Pediatric" u="1"/>
        <s v="Many Star Auto" u="1"/>
        <s v="Romeo Warehouse" u="1"/>
        <s v="Ventry Transit" u="1"/>
        <s v="Prime Wellness" u="1"/>
        <s v="Landing Gray LLC" u="1"/>
        <s v="The Junior Wholesalers" u="1"/>
        <s v="Villareal Pools &amp; More" u="1"/>
        <s v="Wellbery Corp." u="1"/>
        <s v="Extra Baldwin LLC" u="1"/>
        <s v="Hint Laboratories" u="1"/>
        <s v="Home True Inc." u="1"/>
        <s v="Your Eyelabs Plus" u="1"/>
        <s v="Fair Grain Farming" u="1"/>
        <s v="Unnicram LLC" u="1"/>
        <s v="Munty Bear Ads" u="1"/>
        <s v="TrueVision Optical" u="1"/>
        <s v="Epic Range Telecast" u="1"/>
        <s v="Raindrop Enterprises" u="1"/>
        <s v="Industrial Metal Company" u="1"/>
        <s v="OceanView Marketing" u="1"/>
        <s v="Magic Orthopedics" u="1"/>
        <s v="West Shore Chem Firm" u="1"/>
        <s v="InterGadget" u="1"/>
        <s v="Ory Dental" u="1"/>
      </sharedItems>
    </cacheField>
    <cacheField name="DEAL SIZE" numFmtId="164">
      <sharedItems containsSemiMixedTypes="0" containsString="0" containsNumber="1" minValue="4003.3900000000003" maxValue="22067.925000000003"/>
    </cacheField>
    <cacheField name="STAGE" numFmtId="0">
      <sharedItems count="5">
        <s v="PROPOSAL"/>
        <s v="IDENTIFIED"/>
        <s v="QUALIFIED"/>
        <s v="WON" u="1"/>
        <s v="LOST" u="1"/>
      </sharedItems>
    </cacheField>
    <cacheField name="PROBABILITY" numFmtId="9">
      <sharedItems containsSemiMixedTypes="0" containsString="0" containsNumber="1" minValue="0.1" maxValue="0.75"/>
    </cacheField>
    <cacheField name="WEIGHTED FORECAST" numFmtId="164">
      <sharedItems containsSemiMixedTypes="0" containsString="0" containsNumber="1" minValue="400.33900000000006" maxValue="16550.943750000002"/>
    </cacheField>
    <cacheField name="SALES CHANNEL" numFmtId="0">
      <sharedItems count="3">
        <s v="RENEWAL"/>
        <s v="NEW BUSINESS"/>
        <s v="AD-HOC"/>
      </sharedItems>
    </cacheField>
    <cacheField name="EXPECTED/CLOSE DATE" numFmtId="14">
      <sharedItems containsSemiMixedTypes="0" containsNonDate="0" containsDate="1" containsString="0" minDate="2023-10-05T00:00:00" maxDate="2024-01-01T00:00:00"/>
    </cacheField>
    <cacheField name="NOTES" numFmtId="0">
      <sharedItems containsBlank="1"/>
    </cacheField>
  </cacheFields>
  <extLst>
    <ext xmlns:x14="http://schemas.microsoft.com/office/spreadsheetml/2009/9/main" uri="{725AE2AE-9491-48be-B2B4-4EB974FC3084}">
      <x14:pivotCacheDefinition pivotCacheId="158304633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sy" refreshedDate="45181.055552546299" createdVersion="8" refreshedVersion="8" minRefreshableVersion="3" recordCount="211" xr:uid="{BAC9CD58-7B13-4B0A-A02C-5BBE9534AEF7}">
  <cacheSource type="worksheet">
    <worksheetSource name="Won"/>
  </cacheSource>
  <cacheFields count="12">
    <cacheField name="SALES ASSOCIATE" numFmtId="0">
      <sharedItems containsBlank="1"/>
    </cacheField>
    <cacheField name="MONTH" numFmtId="0">
      <sharedItems containsBlank="1" count="11">
        <s v="JANUARY"/>
        <s v="FEBRUARY"/>
        <s v="DECEMBER"/>
        <s v="APRIL"/>
        <s v="MAY"/>
        <s v="JUNE"/>
        <s v="SEPTEMBER"/>
        <m/>
        <s v="MARCH"/>
        <s v="JULY"/>
        <s v="AUGUST"/>
      </sharedItems>
    </cacheField>
    <cacheField name="ACCOUNT NAME" numFmtId="0">
      <sharedItems count="150">
        <s v="ABC Charter Enterprise"/>
        <s v="Amish Electrical"/>
        <s v="Fitness USA Partners"/>
        <s v="Cheek Furniture Gallery"/>
        <s v="America Landing Solutions"/>
        <s v="JK Automotive"/>
        <s v="Zone K Tires"/>
        <s v="Penners Gallery"/>
        <s v="Hammond Pawalk Law Firm"/>
        <s v="CC Wholesale Beverages"/>
        <s v="Law Richardson &amp; Andrew"/>
        <s v="Lighthouse Materials LLC"/>
        <s v="RoadHouse Entertainment"/>
        <s v="Wright Communications"/>
        <s v="Wrench Turn"/>
        <s v="Morgan &amp; Morgan Law"/>
        <s v="MB Media"/>
        <s v="Manshire Advertisers"/>
        <s v="TMJ Pizza Wholesalers"/>
        <s v="Lay Wright Enterprises"/>
        <s v="Cook B LLC"/>
        <s v="109 Solutions LLC"/>
        <s v="Popeye Packaging Inc."/>
        <s v="DRS Notary"/>
        <s v="TM AUTOMOTIVE"/>
        <s v="Ansley Marketing"/>
        <s v="Taylor Automotive"/>
        <s v="Wheels &amp; Deals Automotive"/>
        <s v="Now Utilities"/>
        <s v="RCN Corporation"/>
        <s v="Ice Scream Creamers"/>
        <s v="Hill Count Interiors"/>
        <s v="Haile Repair"/>
        <s v="Osmo Today Systems"/>
        <s v="WeCare Repair"/>
        <s v="Davenport Entertainment"/>
        <s v="Rhino Environmental"/>
        <s v="YT Vision"/>
        <s v="Rockport Dentistry"/>
        <s v="Nakata "/>
        <s v="Harper J Law &amp; Services"/>
        <s v="Rivera Law Firm"/>
        <s v="ECCVI University"/>
        <s v="Ralston LLC"/>
        <s v="Spice Wholesale"/>
        <s v="Miles Industrial "/>
        <s v="H &amp; L Enterprises"/>
        <s v="Farly International"/>
        <s v="Foremore Entertainment"/>
        <s v="Compere Communications"/>
        <s v="Byrd Technologies"/>
        <s v="Rodburger Enterprises"/>
        <s v="Long Gone Industrial"/>
        <s v="Pro Tools Warehouse"/>
        <s v="BlackBurn Music"/>
        <s v="Stonekey Manufacturing"/>
        <s v="Pint Gallery Express"/>
        <s v="Digital Pancare Media"/>
        <s v="Metropolitan Constructions Services"/>
        <s v="EnTrue Properties"/>
        <s v="Mercy Hook Law"/>
        <s v="M &amp; C Law"/>
        <s v="Prescriptions Made Fresh"/>
        <s v="BBC Warehouse"/>
        <s v="CDM Auto Repair"/>
        <s v="Charter Communications"/>
        <s v="American TeaCast House"/>
        <s v="FireHouse Vision"/>
        <s v="Community Wellness"/>
        <s v="Living Central Air "/>
        <s v="Solar Westshield"/>
        <s v="World Micro Electronics"/>
        <s v="Outy Furnitures"/>
        <s v="Chelsea MegaStore"/>
        <s v="Rock Medellin Modeling"/>
        <s v="Aches &amp; Ramos LLC"/>
        <s v="CakeTops &amp; Top Bakery"/>
        <s v="First Environment"/>
        <s v="River Protection Association"/>
        <s v="EXP Generators"/>
        <s v="King Tires LLC"/>
        <s v="Blue Diamond Wellness Center"/>
        <s v="Collision San Antonio"/>
        <s v="Distric Eds "/>
        <s v="Yellow Daycare"/>
        <s v="Cornerstone Enterprises"/>
        <s v="RC Law Firm "/>
        <s v="Title Apartments"/>
        <s v="Miracle Ingredients"/>
        <s v="Holland Motorcars"/>
        <s v="Rose Catering"/>
        <s v="Nobile Mechanics"/>
        <s v="Riot Media Services"/>
        <s v="Boots Catering"/>
        <s v="West Shore United"/>
        <s v="Sleep Optum Express"/>
        <s v="Reese Protective Gear"/>
        <s v="All Mighty Services"/>
        <s v="518 Media"/>
        <s v="Love &amp; Décor Services"/>
        <s v="Megan Fitness"/>
        <s v="Unitime Cabinets"/>
        <s v="J&amp;B Lawn Care"/>
        <s v="Weizmann Storage"/>
        <s v="Rhino Rescue Energy"/>
        <s v="Evermore Clinical"/>
        <s v="Greenview Enterprises"/>
        <s v="PG Law Associates"/>
        <s v="Verdict Enterprises"/>
        <s v="Rick Autoparts"/>
        <s v="DJ Entertainment"/>
        <s v="Garry ADVERTISERS"/>
        <s v="One Water Center"/>
        <s v="My Econo Optical"/>
        <s v="Louis Entertainment"/>
        <s v="Victor Tiles"/>
        <s v="Katai Technologies"/>
        <s v="Harl &amp; Harl Enterprises"/>
        <s v="Long Tide Services"/>
        <s v="Steel Imagery"/>
        <s v="Trevor Productions"/>
        <s v="Kooper Colleges"/>
        <s v="Telegar Health"/>
        <s v="Speedway Auto"/>
        <s v="UTV Health Centers"/>
        <s v="Kids Garden Pediatric"/>
        <s v="Many Star Auto"/>
        <s v="Ventry Transit"/>
        <s v="Prime Wellness"/>
        <s v="Mammoth Pools"/>
        <s v="Villareal Pools &amp; More"/>
        <s v="Wellbery Corp."/>
        <s v="Hint Laboratories"/>
        <s v="Your Eyelabs Plus"/>
        <s v="Unnicram LLC"/>
        <s v="Munty Bear Ads"/>
        <s v="Raindrop Enterprises"/>
        <s v="OceanView Marketing"/>
        <s v="West Shore Chem Firm"/>
        <s v="InterGadget"/>
        <s v="Ory Dental"/>
        <s v="Grant Foundation LLC"/>
        <s v="Villa Mountain Association"/>
        <s v="Head Interamerican LLC"/>
        <s v="Science Laboratory"/>
        <s v="TNR Medical"/>
        <s v="Media Republic"/>
        <s v="Micro Waste Solutions"/>
        <s v="General Commerce Inc."/>
        <s v="HB Ruddkin" u="1"/>
      </sharedItems>
    </cacheField>
    <cacheField name="DEAL SIZE" numFmtId="164">
      <sharedItems containsSemiMixedTypes="0" containsString="0" containsNumber="1" minValue="5244" maxValue="30000"/>
    </cacheField>
    <cacheField name="STAGE" numFmtId="0">
      <sharedItems containsBlank="1"/>
    </cacheField>
    <cacheField name="PROBABILITY" numFmtId="9">
      <sharedItems containsString="0" containsBlank="1" containsNumber="1" containsInteger="1" minValue="1" maxValue="1"/>
    </cacheField>
    <cacheField name="WEIGHTED FORECAST" numFmtId="164">
      <sharedItems containsString="0" containsBlank="1" containsNumber="1" minValue="5388" maxValue="29323.91"/>
    </cacheField>
    <cacheField name="SALES CHANNEL" numFmtId="0">
      <sharedItems count="3">
        <s v="RENEWAL"/>
        <s v="AD-HOC"/>
        <s v="NEW BUSINESS"/>
      </sharedItems>
    </cacheField>
    <cacheField name="EXPECTED/CLOSE DATE" numFmtId="14">
      <sharedItems containsSemiMixedTypes="0" containsNonDate="0" containsDate="1" containsString="0" minDate="2023-01-01T00:00:00" maxDate="2023-10-02T00:00:00"/>
    </cacheField>
    <cacheField name="NOTES" numFmtId="0">
      <sharedItems containsBlank="1"/>
    </cacheField>
    <cacheField name="COMMISSION" numFmtId="164">
      <sharedItems containsSemiMixedTypes="0" containsString="0" containsNumber="1" minValue="282" maxValue="5864.7820000000002"/>
    </cacheField>
    <cacheField name="STATUS" numFmtId="0">
      <sharedItems containsBlank="1"/>
    </cacheField>
  </cacheFields>
  <extLst>
    <ext xmlns:x14="http://schemas.microsoft.com/office/spreadsheetml/2009/9/main" uri="{725AE2AE-9491-48be-B2B4-4EB974FC3084}">
      <x14:pivotCacheDefinition pivotCacheId="14715716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s v="Kelly"/>
    <x v="0"/>
    <x v="0"/>
    <n v="9883.4449999999997"/>
    <x v="0"/>
    <n v="0.75"/>
    <n v="7412.5837499999998"/>
    <x v="0"/>
    <d v="2023-10-05T00:00:00"/>
    <s v="Proposal sent out. Waiting on corporate approvals."/>
  </r>
  <r>
    <s v="Kelly"/>
    <x v="0"/>
    <x v="1"/>
    <n v="14119.93"/>
    <x v="0"/>
    <n v="0.75"/>
    <n v="10589.9475"/>
    <x v="0"/>
    <d v="2023-10-07T00:00:00"/>
    <s v="waiting on approvals from legal."/>
  </r>
  <r>
    <s v="Kelly"/>
    <x v="0"/>
    <x v="2"/>
    <n v="12943.48"/>
    <x v="1"/>
    <n v="0.1"/>
    <n v="1294.348"/>
    <x v="1"/>
    <d v="2023-10-15T00:00:00"/>
    <m/>
  </r>
  <r>
    <s v="Kelly"/>
    <x v="0"/>
    <x v="3"/>
    <n v="12832.16"/>
    <x v="1"/>
    <n v="0.1"/>
    <n v="1283.2160000000001"/>
    <x v="1"/>
    <d v="2023-10-15T00:00:00"/>
    <m/>
  </r>
  <r>
    <s v="Kelly"/>
    <x v="0"/>
    <x v="4"/>
    <n v="16343.8"/>
    <x v="2"/>
    <n v="0.4"/>
    <n v="6537.52"/>
    <x v="1"/>
    <d v="2023-10-15T00:00:00"/>
    <m/>
  </r>
  <r>
    <s v="Kelly"/>
    <x v="0"/>
    <x v="5"/>
    <n v="14318.535"/>
    <x v="2"/>
    <n v="0.4"/>
    <n v="5727.4140000000007"/>
    <x v="2"/>
    <d v="2023-10-15T00:00:00"/>
    <s v="Onsight presentation set for 10/1/2023"/>
  </r>
  <r>
    <s v="Kelly"/>
    <x v="0"/>
    <x v="6"/>
    <n v="22067.925000000003"/>
    <x v="0"/>
    <n v="0.75"/>
    <n v="16550.943750000002"/>
    <x v="1"/>
    <d v="2023-10-20T00:00:00"/>
    <m/>
  </r>
  <r>
    <s v="Kelly"/>
    <x v="0"/>
    <x v="7"/>
    <n v="5780.8799999999992"/>
    <x v="2"/>
    <n v="0.4"/>
    <n v="2312.3519999999999"/>
    <x v="2"/>
    <d v="2023-10-20T00:00:00"/>
    <m/>
  </r>
  <r>
    <s v="Kelly"/>
    <x v="0"/>
    <x v="8"/>
    <n v="7221.7150000000001"/>
    <x v="2"/>
    <n v="0.4"/>
    <n v="2888.6860000000001"/>
    <x v="1"/>
    <d v="2023-10-30T00:00:00"/>
    <m/>
  </r>
  <r>
    <s v="Kelly"/>
    <x v="1"/>
    <x v="9"/>
    <n v="10547.510000000002"/>
    <x v="1"/>
    <n v="0.1"/>
    <n v="1054.7510000000002"/>
    <x v="2"/>
    <d v="2023-11-01T00:00:00"/>
    <s v="Networking contact"/>
  </r>
  <r>
    <s v="Kelly"/>
    <x v="1"/>
    <x v="10"/>
    <n v="12233.315000000001"/>
    <x v="1"/>
    <n v="0.1"/>
    <n v="1223.3315"/>
    <x v="1"/>
    <d v="2023-11-11T00:00:00"/>
    <s v="Said to follow up in December"/>
  </r>
  <r>
    <s v="Kelly"/>
    <x v="1"/>
    <x v="11"/>
    <n v="8246.4750000000004"/>
    <x v="2"/>
    <n v="0.4"/>
    <n v="3298.59"/>
    <x v="1"/>
    <d v="2023-11-15T00:00:00"/>
    <m/>
  </r>
  <r>
    <s v="Kelly"/>
    <x v="1"/>
    <x v="12"/>
    <n v="6828.08"/>
    <x v="0"/>
    <n v="0.75"/>
    <n v="5121.0599999999995"/>
    <x v="1"/>
    <d v="2023-11-15T00:00:00"/>
    <m/>
  </r>
  <r>
    <s v="Kelly"/>
    <x v="1"/>
    <x v="13"/>
    <n v="11553.57"/>
    <x v="1"/>
    <n v="0.1"/>
    <n v="1155.357"/>
    <x v="2"/>
    <d v="2023-11-15T00:00:00"/>
    <m/>
  </r>
  <r>
    <s v="Kelly"/>
    <x v="1"/>
    <x v="14"/>
    <n v="12396.005000000001"/>
    <x v="2"/>
    <n v="0.4"/>
    <n v="4958.402000000001"/>
    <x v="2"/>
    <d v="2023-11-15T00:00:00"/>
    <m/>
  </r>
  <r>
    <s v="Kelly"/>
    <x v="1"/>
    <x v="15"/>
    <n v="14827.005000000001"/>
    <x v="0"/>
    <n v="0.75"/>
    <n v="11120.25375"/>
    <x v="0"/>
    <d v="2023-11-15T00:00:00"/>
    <m/>
  </r>
  <r>
    <s v="Kelly"/>
    <x v="1"/>
    <x v="16"/>
    <n v="11106.640000000001"/>
    <x v="1"/>
    <n v="0.1"/>
    <n v="1110.6640000000002"/>
    <x v="2"/>
    <d v="2023-11-20T00:00:00"/>
    <m/>
  </r>
  <r>
    <s v="Kelly"/>
    <x v="1"/>
    <x v="17"/>
    <n v="14650.29"/>
    <x v="0"/>
    <n v="0.75"/>
    <n v="10987.717500000001"/>
    <x v="0"/>
    <d v="2023-11-22T00:00:00"/>
    <m/>
  </r>
  <r>
    <s v="Kelly"/>
    <x v="1"/>
    <x v="18"/>
    <n v="14440.850000000002"/>
    <x v="2"/>
    <n v="0.4"/>
    <n v="5776.3400000000011"/>
    <x v="1"/>
    <d v="2023-11-23T00:00:00"/>
    <m/>
  </r>
  <r>
    <s v="Kelly"/>
    <x v="1"/>
    <x v="19"/>
    <n v="14424.02"/>
    <x v="2"/>
    <n v="0.4"/>
    <n v="5769.6080000000002"/>
    <x v="1"/>
    <d v="2023-11-30T00:00:00"/>
    <m/>
  </r>
  <r>
    <s v="Kelly"/>
    <x v="1"/>
    <x v="20"/>
    <n v="11905.130000000001"/>
    <x v="1"/>
    <n v="0.1"/>
    <n v="1190.5130000000001"/>
    <x v="1"/>
    <d v="2023-11-30T00:00:00"/>
    <m/>
  </r>
  <r>
    <s v="Kelly"/>
    <x v="1"/>
    <x v="21"/>
    <n v="5694.8600000000006"/>
    <x v="1"/>
    <n v="0.1"/>
    <n v="569.4860000000001"/>
    <x v="2"/>
    <d v="2023-11-30T00:00:00"/>
    <m/>
  </r>
  <r>
    <s v="Kelly"/>
    <x v="1"/>
    <x v="22"/>
    <n v="10547.510000000002"/>
    <x v="2"/>
    <n v="0.4"/>
    <n v="4219.0040000000008"/>
    <x v="0"/>
    <d v="2023-11-30T00:00:00"/>
    <m/>
  </r>
  <r>
    <s v="Kelly"/>
    <x v="2"/>
    <x v="23"/>
    <n v="12233.315000000001"/>
    <x v="1"/>
    <n v="0.1"/>
    <n v="1223.3315"/>
    <x v="1"/>
    <d v="2023-12-01T00:00:00"/>
    <m/>
  </r>
  <r>
    <s v="Kelly"/>
    <x v="2"/>
    <x v="24"/>
    <n v="8246.4750000000004"/>
    <x v="1"/>
    <n v="0.1"/>
    <n v="824.64750000000004"/>
    <x v="1"/>
    <d v="2023-12-01T00:00:00"/>
    <m/>
  </r>
  <r>
    <s v="Kelly"/>
    <x v="2"/>
    <x v="25"/>
    <n v="6828.08"/>
    <x v="1"/>
    <n v="0.1"/>
    <n v="682.80799999999999"/>
    <x v="1"/>
    <d v="2023-12-01T00:00:00"/>
    <m/>
  </r>
  <r>
    <s v="Kelly"/>
    <x v="2"/>
    <x v="26"/>
    <n v="11553.57"/>
    <x v="2"/>
    <n v="0.4"/>
    <n v="4621.4279999999999"/>
    <x v="1"/>
    <d v="2023-12-01T00:00:00"/>
    <s v="Networking contact"/>
  </r>
  <r>
    <s v="Kelly"/>
    <x v="2"/>
    <x v="27"/>
    <n v="12396.005000000001"/>
    <x v="1"/>
    <n v="0.1"/>
    <n v="1239.6005000000002"/>
    <x v="1"/>
    <d v="2023-12-01T00:00:00"/>
    <s v="Referred by Mine Fort Contact"/>
  </r>
  <r>
    <s v="Kelly"/>
    <x v="2"/>
    <x v="28"/>
    <n v="14827.005000000001"/>
    <x v="1"/>
    <n v="0.1"/>
    <n v="1482.7005000000001"/>
    <x v="2"/>
    <d v="2023-12-01T00:00:00"/>
    <m/>
  </r>
  <r>
    <s v="Kelly"/>
    <x v="2"/>
    <x v="29"/>
    <n v="11106.640000000001"/>
    <x v="1"/>
    <n v="0.1"/>
    <n v="1110.6640000000002"/>
    <x v="2"/>
    <d v="2023-12-01T00:00:00"/>
    <m/>
  </r>
  <r>
    <s v="Kelly"/>
    <x v="2"/>
    <x v="30"/>
    <n v="14650.29"/>
    <x v="2"/>
    <n v="0.4"/>
    <n v="5860.1160000000009"/>
    <x v="0"/>
    <d v="2023-12-01T00:00:00"/>
    <m/>
  </r>
  <r>
    <s v="Kelly"/>
    <x v="2"/>
    <x v="31"/>
    <n v="14440.850000000002"/>
    <x v="2"/>
    <n v="0.4"/>
    <n v="5776.3400000000011"/>
    <x v="0"/>
    <d v="2023-12-01T00:00:00"/>
    <m/>
  </r>
  <r>
    <s v="Kelly"/>
    <x v="2"/>
    <x v="32"/>
    <n v="14424.02"/>
    <x v="2"/>
    <n v="0.4"/>
    <n v="5769.6080000000002"/>
    <x v="2"/>
    <d v="2023-12-12T00:00:00"/>
    <m/>
  </r>
  <r>
    <s v="Kelly"/>
    <x v="2"/>
    <x v="33"/>
    <n v="11905.130000000001"/>
    <x v="2"/>
    <n v="0.4"/>
    <n v="4762.0520000000006"/>
    <x v="1"/>
    <d v="2023-12-15T00:00:00"/>
    <m/>
  </r>
  <r>
    <s v="Kelly"/>
    <x v="2"/>
    <x v="34"/>
    <n v="5694.8600000000006"/>
    <x v="1"/>
    <n v="0.1"/>
    <n v="569.4860000000001"/>
    <x v="1"/>
    <d v="2023-12-15T00:00:00"/>
    <m/>
  </r>
  <r>
    <s v="Kelly"/>
    <x v="2"/>
    <x v="35"/>
    <n v="4003.3900000000003"/>
    <x v="1"/>
    <n v="0.1"/>
    <n v="400.33900000000006"/>
    <x v="2"/>
    <d v="2023-12-15T00:00:00"/>
    <s v="Called for information"/>
  </r>
  <r>
    <s v="Kelly"/>
    <x v="2"/>
    <x v="36"/>
    <n v="8953.3349999999991"/>
    <x v="2"/>
    <n v="0.4"/>
    <n v="3581.3339999999998"/>
    <x v="0"/>
    <d v="2023-12-15T00:00:00"/>
    <m/>
  </r>
  <r>
    <s v="Kelly"/>
    <x v="2"/>
    <x v="37"/>
    <n v="12786.285"/>
    <x v="1"/>
    <n v="0.1"/>
    <n v="1278.6285"/>
    <x v="1"/>
    <d v="2023-12-20T00:00:00"/>
    <m/>
  </r>
  <r>
    <s v="Kelly"/>
    <x v="2"/>
    <x v="38"/>
    <n v="7198.7800000000007"/>
    <x v="2"/>
    <n v="0.4"/>
    <n v="2879.5120000000006"/>
    <x v="0"/>
    <d v="2023-12-30T00:00:00"/>
    <m/>
  </r>
  <r>
    <s v="Kelly"/>
    <x v="2"/>
    <x v="39"/>
    <n v="16815.310000000001"/>
    <x v="2"/>
    <n v="0.4"/>
    <n v="6726.1240000000007"/>
    <x v="0"/>
    <d v="2023-12-30T00:00:00"/>
    <m/>
  </r>
  <r>
    <s v="Kelly"/>
    <x v="2"/>
    <x v="40"/>
    <n v="4449.9350000000004"/>
    <x v="2"/>
    <n v="0.4"/>
    <n v="1779.9740000000002"/>
    <x v="1"/>
    <d v="2023-12-31T00:00:00"/>
    <m/>
  </r>
  <r>
    <s v="Kelly"/>
    <x v="2"/>
    <x v="41"/>
    <n v="15626.21"/>
    <x v="1"/>
    <n v="0.1"/>
    <n v="1562.6210000000001"/>
    <x v="1"/>
    <d v="2023-12-31T00:00:00"/>
    <m/>
  </r>
  <r>
    <s v="Kelly"/>
    <x v="2"/>
    <x v="42"/>
    <n v="9566.8599999999988"/>
    <x v="2"/>
    <n v="0.4"/>
    <n v="3826.7439999999997"/>
    <x v="1"/>
    <d v="2023-12-31T00:00:00"/>
    <m/>
  </r>
  <r>
    <s v="Kelly"/>
    <x v="2"/>
    <x v="43"/>
    <n v="8843.2800000000007"/>
    <x v="1"/>
    <n v="0.1"/>
    <n v="884.32800000000009"/>
    <x v="1"/>
    <d v="2023-12-31T00:00:00"/>
    <m/>
  </r>
  <r>
    <s v="Kelly"/>
    <x v="2"/>
    <x v="44"/>
    <n v="17570.514999999999"/>
    <x v="2"/>
    <n v="0.4"/>
    <n v="7028.2060000000001"/>
    <x v="2"/>
    <d v="2023-12-31T00:00:00"/>
    <m/>
  </r>
  <r>
    <s v="Kelly"/>
    <x v="2"/>
    <x v="45"/>
    <n v="6643.4449999999997"/>
    <x v="1"/>
    <n v="0.1"/>
    <n v="664.34450000000004"/>
    <x v="2"/>
    <d v="2023-12-31T00:00:00"/>
    <m/>
  </r>
  <r>
    <s v="Kelly"/>
    <x v="2"/>
    <x v="46"/>
    <n v="10879.93"/>
    <x v="1"/>
    <n v="0.1"/>
    <n v="1087.9930000000002"/>
    <x v="2"/>
    <d v="2023-12-31T00:00:00"/>
    <m/>
  </r>
  <r>
    <s v="Kelly"/>
    <x v="2"/>
    <x v="47"/>
    <n v="9703.48"/>
    <x v="1"/>
    <n v="0.1"/>
    <n v="970.34799999999996"/>
    <x v="2"/>
    <d v="2023-12-31T00:00:00"/>
    <m/>
  </r>
  <r>
    <s v="Kelly"/>
    <x v="2"/>
    <x v="48"/>
    <n v="9592.16"/>
    <x v="1"/>
    <n v="0.1"/>
    <n v="959.21600000000001"/>
    <x v="2"/>
    <d v="2023-12-31T00:00:00"/>
    <m/>
  </r>
  <r>
    <s v="Kelly"/>
    <x v="2"/>
    <x v="49"/>
    <n v="13103.8"/>
    <x v="1"/>
    <n v="0.1"/>
    <n v="1310.3800000000001"/>
    <x v="2"/>
    <d v="2023-12-31T00:00:00"/>
    <m/>
  </r>
  <r>
    <s v="Kelly"/>
    <x v="2"/>
    <x v="50"/>
    <n v="11078.535"/>
    <x v="2"/>
    <n v="0.4"/>
    <n v="4431.4139999999998"/>
    <x v="0"/>
    <d v="2023-12-31T00:00:00"/>
    <s v="long term client. Should receive renewal"/>
  </r>
  <r>
    <s v="Kelly"/>
    <x v="2"/>
    <x v="51"/>
    <n v="18827.925000000003"/>
    <x v="2"/>
    <n v="0.4"/>
    <n v="7531.1700000000019"/>
    <x v="0"/>
    <d v="2023-12-31T00:00:00"/>
    <s v="meeting set up for November,"/>
  </r>
  <r>
    <s v="Kelly"/>
    <x v="2"/>
    <x v="52"/>
    <n v="15000"/>
    <x v="2"/>
    <n v="0.4"/>
    <n v="6000"/>
    <x v="0"/>
    <d v="2023-12-31T00:00:00"/>
    <m/>
  </r>
  <r>
    <s v="Kelly"/>
    <x v="2"/>
    <x v="53"/>
    <n v="12000"/>
    <x v="2"/>
    <n v="0.4"/>
    <n v="4800"/>
    <x v="0"/>
    <d v="2023-12-31T00:00:00"/>
    <s v="long term client. Should receive renewal"/>
  </r>
  <r>
    <s v="Kelly"/>
    <x v="2"/>
    <x v="54"/>
    <n v="15500"/>
    <x v="2"/>
    <n v="0.4"/>
    <n v="6200"/>
    <x v="0"/>
    <d v="2023-12-31T00:00:00"/>
    <m/>
  </r>
  <r>
    <s v="Kelly"/>
    <x v="2"/>
    <x v="55"/>
    <n v="7000"/>
    <x v="2"/>
    <n v="0.4"/>
    <n v="2800"/>
    <x v="0"/>
    <d v="2023-12-31T00:00:00"/>
    <m/>
  </r>
  <r>
    <s v="Kelly"/>
    <x v="2"/>
    <x v="16"/>
    <n v="10000"/>
    <x v="2"/>
    <n v="0.4"/>
    <n v="4000"/>
    <x v="0"/>
    <d v="2023-12-31T00:00:0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m/>
    <x v="0"/>
    <x v="0"/>
    <n v="14965"/>
    <m/>
    <m/>
    <m/>
    <x v="0"/>
    <d v="2023-01-01T00:00:00"/>
    <m/>
    <n v="1496.5"/>
    <s v="PENDING"/>
  </r>
  <r>
    <m/>
    <x v="1"/>
    <x v="1"/>
    <n v="16549"/>
    <m/>
    <m/>
    <m/>
    <x v="1"/>
    <d v="2023-01-01T00:00:00"/>
    <m/>
    <n v="3309.8"/>
    <s v="PAID"/>
  </r>
  <r>
    <m/>
    <x v="2"/>
    <x v="2"/>
    <n v="12285"/>
    <m/>
    <m/>
    <m/>
    <x v="2"/>
    <d v="2023-01-01T00:00:00"/>
    <m/>
    <n v="614.25"/>
    <s v="CREDIT HOLD"/>
  </r>
  <r>
    <m/>
    <x v="3"/>
    <x v="3"/>
    <n v="10768"/>
    <m/>
    <m/>
    <m/>
    <x v="0"/>
    <d v="2023-01-01T00:00:00"/>
    <m/>
    <n v="1076.8"/>
    <m/>
  </r>
  <r>
    <m/>
    <x v="4"/>
    <x v="4"/>
    <n v="15822"/>
    <m/>
    <m/>
    <m/>
    <x v="1"/>
    <d v="2023-01-01T00:00:00"/>
    <m/>
    <n v="3164.4"/>
    <m/>
  </r>
  <r>
    <m/>
    <x v="5"/>
    <x v="5"/>
    <n v="16723"/>
    <m/>
    <m/>
    <m/>
    <x v="0"/>
    <d v="2023-01-01T00:00:00"/>
    <m/>
    <n v="1672.3000000000002"/>
    <m/>
  </r>
  <r>
    <m/>
    <x v="6"/>
    <x v="6"/>
    <n v="30000"/>
    <m/>
    <m/>
    <m/>
    <x v="0"/>
    <d v="2023-01-01T00:00:00"/>
    <m/>
    <n v="3000"/>
    <m/>
  </r>
  <r>
    <m/>
    <x v="7"/>
    <x v="7"/>
    <n v="15344"/>
    <m/>
    <m/>
    <m/>
    <x v="2"/>
    <d v="2023-01-01T00:00:00"/>
    <m/>
    <n v="767.2"/>
    <m/>
  </r>
  <r>
    <m/>
    <x v="7"/>
    <x v="8"/>
    <n v="19134"/>
    <m/>
    <m/>
    <m/>
    <x v="2"/>
    <d v="2023-01-08T00:00:00"/>
    <m/>
    <n v="956.7"/>
    <m/>
  </r>
  <r>
    <m/>
    <x v="7"/>
    <x v="9"/>
    <n v="20000"/>
    <m/>
    <m/>
    <m/>
    <x v="2"/>
    <d v="2023-01-08T00:00:00"/>
    <m/>
    <n v="1000"/>
    <m/>
  </r>
  <r>
    <m/>
    <x v="7"/>
    <x v="10"/>
    <n v="18892"/>
    <m/>
    <m/>
    <m/>
    <x v="0"/>
    <d v="2023-01-09T00:00:00"/>
    <m/>
    <n v="1889.2"/>
    <m/>
  </r>
  <r>
    <m/>
    <x v="7"/>
    <x v="11"/>
    <n v="16198"/>
    <m/>
    <m/>
    <m/>
    <x v="0"/>
    <d v="2023-01-12T00:00:00"/>
    <m/>
    <n v="1619.8000000000002"/>
    <m/>
  </r>
  <r>
    <m/>
    <x v="7"/>
    <x v="12"/>
    <n v="9556"/>
    <m/>
    <m/>
    <m/>
    <x v="1"/>
    <d v="2023-01-12T00:00:00"/>
    <m/>
    <n v="1911.2"/>
    <m/>
  </r>
  <r>
    <m/>
    <x v="7"/>
    <x v="13"/>
    <n v="8317"/>
    <m/>
    <m/>
    <m/>
    <x v="1"/>
    <d v="2023-01-12T00:00:00"/>
    <m/>
    <n v="1663.4"/>
    <m/>
  </r>
  <r>
    <m/>
    <x v="7"/>
    <x v="14"/>
    <n v="5388"/>
    <m/>
    <m/>
    <m/>
    <x v="0"/>
    <d v="2023-01-15T00:00:00"/>
    <m/>
    <n v="538.80000000000007"/>
    <m/>
  </r>
  <r>
    <m/>
    <x v="7"/>
    <x v="15"/>
    <n v="9709"/>
    <m/>
    <m/>
    <m/>
    <x v="2"/>
    <d v="2023-01-15T00:00:00"/>
    <m/>
    <n v="485.45000000000005"/>
    <m/>
  </r>
  <r>
    <m/>
    <x v="7"/>
    <x v="16"/>
    <n v="17174"/>
    <m/>
    <m/>
    <m/>
    <x v="2"/>
    <d v="2023-01-15T00:00:00"/>
    <m/>
    <n v="858.7"/>
    <m/>
  </r>
  <r>
    <m/>
    <x v="7"/>
    <x v="17"/>
    <n v="11616"/>
    <m/>
    <m/>
    <m/>
    <x v="1"/>
    <d v="2023-01-15T00:00:00"/>
    <m/>
    <n v="2323.2000000000003"/>
    <m/>
  </r>
  <r>
    <m/>
    <x v="7"/>
    <x v="17"/>
    <n v="10043"/>
    <m/>
    <m/>
    <m/>
    <x v="0"/>
    <d v="2023-01-15T00:00:00"/>
    <m/>
    <n v="1004.3000000000001"/>
    <m/>
  </r>
  <r>
    <m/>
    <x v="7"/>
    <x v="18"/>
    <n v="16225"/>
    <m/>
    <m/>
    <m/>
    <x v="2"/>
    <d v="2023-01-15T00:00:00"/>
    <m/>
    <n v="811.25"/>
    <m/>
  </r>
  <r>
    <m/>
    <x v="7"/>
    <x v="19"/>
    <n v="14216"/>
    <m/>
    <m/>
    <m/>
    <x v="2"/>
    <d v="2023-01-20T00:00:00"/>
    <m/>
    <n v="710.80000000000007"/>
    <m/>
  </r>
  <r>
    <m/>
    <x v="7"/>
    <x v="20"/>
    <n v="18851"/>
    <m/>
    <m/>
    <m/>
    <x v="2"/>
    <d v="2023-01-20T00:00:00"/>
    <m/>
    <n v="942.55000000000007"/>
    <m/>
  </r>
  <r>
    <m/>
    <x v="7"/>
    <x v="21"/>
    <n v="5538"/>
    <m/>
    <m/>
    <m/>
    <x v="1"/>
    <d v="2023-01-20T00:00:00"/>
    <m/>
    <n v="1107.6000000000001"/>
    <m/>
  </r>
  <r>
    <m/>
    <x v="7"/>
    <x v="22"/>
    <n v="17754"/>
    <m/>
    <m/>
    <m/>
    <x v="2"/>
    <d v="2023-01-23T00:00:00"/>
    <m/>
    <n v="887.7"/>
    <m/>
  </r>
  <r>
    <m/>
    <x v="7"/>
    <x v="23"/>
    <n v="16581"/>
    <m/>
    <m/>
    <m/>
    <x v="2"/>
    <d v="2023-01-25T00:00:00"/>
    <m/>
    <n v="829.05000000000007"/>
    <m/>
  </r>
  <r>
    <m/>
    <x v="7"/>
    <x v="24"/>
    <n v="11846"/>
    <m/>
    <m/>
    <m/>
    <x v="1"/>
    <d v="2023-01-25T00:00:00"/>
    <m/>
    <n v="2369.2000000000003"/>
    <m/>
  </r>
  <r>
    <m/>
    <x v="7"/>
    <x v="25"/>
    <n v="5849"/>
    <m/>
    <m/>
    <m/>
    <x v="2"/>
    <d v="2023-01-30T00:00:00"/>
    <m/>
    <n v="292.45"/>
    <m/>
  </r>
  <r>
    <m/>
    <x v="7"/>
    <x v="26"/>
    <n v="9793"/>
    <m/>
    <m/>
    <m/>
    <x v="2"/>
    <d v="2023-01-30T00:00:00"/>
    <m/>
    <n v="489.65000000000003"/>
    <m/>
  </r>
  <r>
    <m/>
    <x v="7"/>
    <x v="27"/>
    <n v="5640"/>
    <m/>
    <m/>
    <m/>
    <x v="2"/>
    <d v="2023-01-30T00:00:00"/>
    <m/>
    <n v="282"/>
    <m/>
  </r>
  <r>
    <m/>
    <x v="7"/>
    <x v="28"/>
    <n v="9100"/>
    <m/>
    <m/>
    <m/>
    <x v="1"/>
    <d v="2023-01-30T00:00:00"/>
    <m/>
    <n v="1820"/>
    <m/>
  </r>
  <r>
    <m/>
    <x v="7"/>
    <x v="29"/>
    <n v="5726"/>
    <m/>
    <m/>
    <m/>
    <x v="2"/>
    <d v="2023-01-30T00:00:00"/>
    <m/>
    <n v="286.3"/>
    <m/>
  </r>
  <r>
    <m/>
    <x v="7"/>
    <x v="30"/>
    <n v="9639"/>
    <m/>
    <m/>
    <m/>
    <x v="0"/>
    <d v="2023-02-01T00:00:00"/>
    <m/>
    <n v="963.90000000000009"/>
    <m/>
  </r>
  <r>
    <m/>
    <x v="7"/>
    <x v="31"/>
    <n v="12669"/>
    <m/>
    <m/>
    <m/>
    <x v="1"/>
    <d v="2023-02-01T00:00:00"/>
    <m/>
    <n v="2533.8000000000002"/>
    <m/>
  </r>
  <r>
    <m/>
    <x v="7"/>
    <x v="32"/>
    <n v="8252"/>
    <m/>
    <m/>
    <m/>
    <x v="1"/>
    <d v="2023-02-01T00:00:00"/>
    <m/>
    <n v="1650.4"/>
    <m/>
  </r>
  <r>
    <m/>
    <x v="7"/>
    <x v="33"/>
    <n v="15854"/>
    <m/>
    <m/>
    <m/>
    <x v="1"/>
    <d v="2023-02-01T00:00:00"/>
    <m/>
    <n v="3170.8"/>
    <m/>
  </r>
  <r>
    <m/>
    <x v="7"/>
    <x v="34"/>
    <n v="6079"/>
    <m/>
    <m/>
    <m/>
    <x v="2"/>
    <d v="2023-02-05T00:00:00"/>
    <m/>
    <n v="303.95"/>
    <m/>
  </r>
  <r>
    <m/>
    <x v="7"/>
    <x v="35"/>
    <n v="14914"/>
    <m/>
    <m/>
    <m/>
    <x v="2"/>
    <d v="2023-02-05T00:00:00"/>
    <m/>
    <n v="745.7"/>
    <m/>
  </r>
  <r>
    <m/>
    <x v="7"/>
    <x v="36"/>
    <n v="10124"/>
    <m/>
    <m/>
    <m/>
    <x v="2"/>
    <d v="2023-02-10T00:00:00"/>
    <m/>
    <n v="506.20000000000005"/>
    <m/>
  </r>
  <r>
    <m/>
    <x v="7"/>
    <x v="37"/>
    <n v="9552"/>
    <m/>
    <m/>
    <m/>
    <x v="1"/>
    <d v="2023-02-12T00:00:00"/>
    <m/>
    <n v="1910.4"/>
    <m/>
  </r>
  <r>
    <m/>
    <x v="7"/>
    <x v="38"/>
    <n v="16451"/>
    <m/>
    <m/>
    <m/>
    <x v="2"/>
    <d v="2023-02-12T00:00:00"/>
    <m/>
    <n v="822.55000000000007"/>
    <m/>
  </r>
  <r>
    <m/>
    <x v="7"/>
    <x v="39"/>
    <n v="7813"/>
    <m/>
    <m/>
    <m/>
    <x v="2"/>
    <d v="2023-02-15T00:00:00"/>
    <m/>
    <n v="390.65000000000003"/>
    <m/>
  </r>
  <r>
    <m/>
    <x v="7"/>
    <x v="40"/>
    <n v="11162"/>
    <m/>
    <m/>
    <m/>
    <x v="2"/>
    <d v="2023-02-15T00:00:00"/>
    <m/>
    <n v="558.1"/>
    <m/>
  </r>
  <r>
    <m/>
    <x v="7"/>
    <x v="41"/>
    <n v="10232"/>
    <m/>
    <m/>
    <m/>
    <x v="1"/>
    <d v="2023-02-15T00:00:00"/>
    <m/>
    <n v="2046.4"/>
    <m/>
  </r>
  <r>
    <m/>
    <x v="7"/>
    <x v="42"/>
    <n v="10144"/>
    <m/>
    <m/>
    <m/>
    <x v="1"/>
    <d v="2023-02-15T00:00:00"/>
    <m/>
    <n v="2028.8000000000002"/>
    <m/>
  </r>
  <r>
    <m/>
    <x v="7"/>
    <x v="43"/>
    <n v="12920"/>
    <m/>
    <m/>
    <m/>
    <x v="2"/>
    <d v="2023-02-18T00:00:00"/>
    <m/>
    <n v="646"/>
    <m/>
  </r>
  <r>
    <m/>
    <x v="7"/>
    <x v="44"/>
    <n v="11319"/>
    <m/>
    <m/>
    <m/>
    <x v="2"/>
    <d v="2023-02-18T00:00:00"/>
    <m/>
    <n v="565.95000000000005"/>
    <m/>
  </r>
  <r>
    <m/>
    <x v="7"/>
    <x v="31"/>
    <n v="17445"/>
    <m/>
    <m/>
    <m/>
    <x v="1"/>
    <d v="2023-02-18T00:00:00"/>
    <m/>
    <n v="3489"/>
    <m/>
  </r>
  <r>
    <m/>
    <x v="7"/>
    <x v="45"/>
    <n v="5244"/>
    <m/>
    <m/>
    <m/>
    <x v="1"/>
    <d v="2023-02-18T00:00:00"/>
    <m/>
    <n v="1048.8"/>
    <m/>
  </r>
  <r>
    <m/>
    <x v="7"/>
    <x v="46"/>
    <n v="9648"/>
    <m/>
    <m/>
    <m/>
    <x v="0"/>
    <d v="2023-02-18T00:00:00"/>
    <m/>
    <n v="964.80000000000007"/>
    <m/>
  </r>
  <r>
    <m/>
    <x v="7"/>
    <x v="47"/>
    <n v="11189"/>
    <m/>
    <m/>
    <m/>
    <x v="0"/>
    <d v="2023-02-19T00:00:00"/>
    <m/>
    <n v="1118.9000000000001"/>
    <m/>
  </r>
  <r>
    <m/>
    <x v="7"/>
    <x v="48"/>
    <n v="14746"/>
    <m/>
    <m/>
    <m/>
    <x v="0"/>
    <d v="2023-02-20T00:00:00"/>
    <m/>
    <n v="1474.6000000000001"/>
    <m/>
  </r>
  <r>
    <m/>
    <x v="7"/>
    <x v="49"/>
    <n v="16549"/>
    <m/>
    <m/>
    <m/>
    <x v="2"/>
    <d v="2023-02-25T00:00:00"/>
    <m/>
    <n v="827.45"/>
    <m/>
  </r>
  <r>
    <m/>
    <x v="7"/>
    <x v="50"/>
    <n v="12285"/>
    <m/>
    <m/>
    <m/>
    <x v="2"/>
    <d v="2023-02-25T00:00:00"/>
    <m/>
    <n v="614.25"/>
    <m/>
  </r>
  <r>
    <m/>
    <x v="7"/>
    <x v="51"/>
    <n v="10768"/>
    <m/>
    <m/>
    <m/>
    <x v="2"/>
    <d v="2023-02-28T00:00:00"/>
    <m/>
    <n v="538.4"/>
    <m/>
  </r>
  <r>
    <m/>
    <x v="7"/>
    <x v="52"/>
    <n v="15822"/>
    <m/>
    <m/>
    <m/>
    <x v="2"/>
    <d v="2023-03-01T00:00:00"/>
    <m/>
    <n v="791.1"/>
    <m/>
  </r>
  <r>
    <m/>
    <x v="7"/>
    <x v="53"/>
    <n v="16723"/>
    <m/>
    <m/>
    <m/>
    <x v="2"/>
    <d v="2023-03-05T00:00:00"/>
    <m/>
    <n v="836.15000000000009"/>
    <m/>
  </r>
  <r>
    <m/>
    <x v="7"/>
    <x v="54"/>
    <n v="19323"/>
    <m/>
    <m/>
    <m/>
    <x v="2"/>
    <d v="2023-03-05T00:00:00"/>
    <m/>
    <n v="966.15000000000009"/>
    <m/>
  </r>
  <r>
    <m/>
    <x v="7"/>
    <x v="55"/>
    <n v="15344"/>
    <m/>
    <m/>
    <m/>
    <x v="1"/>
    <d v="2023-03-05T00:00:00"/>
    <m/>
    <n v="3068.8"/>
    <m/>
  </r>
  <r>
    <m/>
    <x v="7"/>
    <x v="56"/>
    <n v="19134"/>
    <m/>
    <m/>
    <m/>
    <x v="0"/>
    <d v="2023-03-05T00:00:00"/>
    <m/>
    <n v="1913.4"/>
    <m/>
  </r>
  <r>
    <m/>
    <x v="7"/>
    <x v="57"/>
    <n v="18910"/>
    <m/>
    <m/>
    <m/>
    <x v="2"/>
    <d v="2023-03-10T00:00:00"/>
    <m/>
    <n v="945.5"/>
    <m/>
  </r>
  <r>
    <m/>
    <x v="7"/>
    <x v="58"/>
    <n v="18892"/>
    <m/>
    <m/>
    <m/>
    <x v="2"/>
    <d v="2023-03-11T00:00:00"/>
    <m/>
    <n v="944.6"/>
    <m/>
  </r>
  <r>
    <m/>
    <x v="7"/>
    <x v="59"/>
    <n v="16198"/>
    <m/>
    <m/>
    <m/>
    <x v="1"/>
    <d v="2023-03-15T00:00:00"/>
    <m/>
    <n v="3239.6000000000004"/>
    <m/>
  </r>
  <r>
    <m/>
    <x v="7"/>
    <x v="60"/>
    <n v="9556"/>
    <m/>
    <m/>
    <m/>
    <x v="2"/>
    <d v="2023-03-15T00:00:00"/>
    <m/>
    <n v="477.8"/>
    <m/>
  </r>
  <r>
    <m/>
    <x v="7"/>
    <x v="61"/>
    <n v="14746"/>
    <m/>
    <m/>
    <m/>
    <x v="1"/>
    <d v="2023-03-15T00:00:00"/>
    <m/>
    <n v="2949.2000000000003"/>
    <m/>
  </r>
  <r>
    <m/>
    <x v="7"/>
    <x v="62"/>
    <n v="16549"/>
    <m/>
    <m/>
    <m/>
    <x v="0"/>
    <d v="2023-03-15T00:00:00"/>
    <m/>
    <n v="1654.9"/>
    <m/>
  </r>
  <r>
    <m/>
    <x v="7"/>
    <x v="24"/>
    <n v="12285"/>
    <m/>
    <m/>
    <m/>
    <x v="0"/>
    <d v="2023-03-18T00:00:00"/>
    <m/>
    <n v="1228.5"/>
    <m/>
  </r>
  <r>
    <m/>
    <x v="7"/>
    <x v="63"/>
    <n v="10768"/>
    <m/>
    <m/>
    <m/>
    <x v="2"/>
    <d v="2023-03-18T00:00:00"/>
    <m/>
    <n v="538.4"/>
    <m/>
  </r>
  <r>
    <m/>
    <x v="7"/>
    <x v="64"/>
    <n v="15822"/>
    <m/>
    <m/>
    <m/>
    <x v="1"/>
    <d v="2023-03-18T00:00:00"/>
    <m/>
    <n v="3164.4"/>
    <m/>
  </r>
  <r>
    <m/>
    <x v="7"/>
    <x v="65"/>
    <n v="16723"/>
    <m/>
    <m/>
    <m/>
    <x v="0"/>
    <d v="2023-03-19T00:00:00"/>
    <m/>
    <n v="1672.3000000000002"/>
    <m/>
  </r>
  <r>
    <m/>
    <x v="7"/>
    <x v="66"/>
    <n v="19323"/>
    <m/>
    <m/>
    <m/>
    <x v="2"/>
    <d v="2023-03-21T00:00:00"/>
    <m/>
    <n v="966.15000000000009"/>
    <m/>
  </r>
  <r>
    <m/>
    <x v="7"/>
    <x v="67"/>
    <n v="15344"/>
    <m/>
    <m/>
    <m/>
    <x v="2"/>
    <d v="2023-03-22T00:00:00"/>
    <m/>
    <n v="767.2"/>
    <m/>
  </r>
  <r>
    <m/>
    <x v="7"/>
    <x v="68"/>
    <n v="19134"/>
    <m/>
    <m/>
    <m/>
    <x v="1"/>
    <d v="2023-03-23T00:00:00"/>
    <m/>
    <n v="3826.8"/>
    <m/>
  </r>
  <r>
    <m/>
    <x v="7"/>
    <x v="69"/>
    <n v="18910"/>
    <m/>
    <m/>
    <m/>
    <x v="1"/>
    <d v="2023-03-23T00:00:00"/>
    <m/>
    <n v="3782"/>
    <m/>
  </r>
  <r>
    <m/>
    <x v="7"/>
    <x v="70"/>
    <n v="18892"/>
    <m/>
    <m/>
    <m/>
    <x v="0"/>
    <d v="2023-04-02T00:00:00"/>
    <m/>
    <n v="1889.2"/>
    <m/>
  </r>
  <r>
    <m/>
    <x v="7"/>
    <x v="71"/>
    <n v="16198"/>
    <m/>
    <m/>
    <m/>
    <x v="1"/>
    <d v="2023-04-05T00:00:00"/>
    <m/>
    <n v="3239.6000000000004"/>
    <m/>
  </r>
  <r>
    <m/>
    <x v="7"/>
    <x v="72"/>
    <n v="9556"/>
    <m/>
    <m/>
    <m/>
    <x v="2"/>
    <d v="2023-04-05T00:00:00"/>
    <m/>
    <n v="477.8"/>
    <m/>
  </r>
  <r>
    <m/>
    <x v="7"/>
    <x v="73"/>
    <n v="8200.7999999999993"/>
    <m/>
    <m/>
    <m/>
    <x v="2"/>
    <d v="2023-04-12T00:00:00"/>
    <m/>
    <n v="410.03999999999996"/>
    <m/>
  </r>
  <r>
    <m/>
    <x v="7"/>
    <x v="74"/>
    <n v="9510.65"/>
    <m/>
    <m/>
    <m/>
    <x v="2"/>
    <d v="2023-04-12T00:00:00"/>
    <m/>
    <n v="475.53250000000003"/>
    <m/>
  </r>
  <r>
    <m/>
    <x v="7"/>
    <x v="75"/>
    <n v="12534.1"/>
    <m/>
    <m/>
    <m/>
    <x v="2"/>
    <d v="2023-04-12T00:00:00"/>
    <m/>
    <n v="626.70500000000004"/>
    <m/>
  </r>
  <r>
    <m/>
    <x v="7"/>
    <x v="76"/>
    <n v="14066.65"/>
    <m/>
    <m/>
    <m/>
    <x v="2"/>
    <d v="2023-04-15T00:00:00"/>
    <m/>
    <n v="703.33249999999998"/>
    <m/>
  </r>
  <r>
    <m/>
    <x v="7"/>
    <x v="77"/>
    <n v="10442.25"/>
    <m/>
    <m/>
    <m/>
    <x v="1"/>
    <d v="2023-04-15T00:00:00"/>
    <m/>
    <n v="2088.4500000000003"/>
    <m/>
  </r>
  <r>
    <m/>
    <x v="7"/>
    <x v="78"/>
    <n v="9152.7999999999993"/>
    <m/>
    <m/>
    <m/>
    <x v="2"/>
    <d v="2023-04-15T00:00:00"/>
    <m/>
    <n v="457.64"/>
    <m/>
  </r>
  <r>
    <m/>
    <x v="7"/>
    <x v="79"/>
    <n v="13448.699999999999"/>
    <m/>
    <m/>
    <m/>
    <x v="1"/>
    <d v="2023-04-18T00:00:00"/>
    <m/>
    <n v="2689.74"/>
    <m/>
  </r>
  <r>
    <m/>
    <x v="7"/>
    <x v="80"/>
    <n v="14214.55"/>
    <m/>
    <m/>
    <m/>
    <x v="1"/>
    <d v="2023-04-19T00:00:00"/>
    <m/>
    <n v="2842.91"/>
    <m/>
  </r>
  <r>
    <m/>
    <x v="7"/>
    <x v="81"/>
    <n v="16424.55"/>
    <m/>
    <m/>
    <m/>
    <x v="2"/>
    <d v="2023-04-20T00:00:00"/>
    <m/>
    <n v="821.22749999999996"/>
    <m/>
  </r>
  <r>
    <m/>
    <x v="7"/>
    <x v="82"/>
    <n v="13042.4"/>
    <m/>
    <m/>
    <m/>
    <x v="0"/>
    <d v="2023-04-22T00:00:00"/>
    <m/>
    <n v="1304.24"/>
    <m/>
  </r>
  <r>
    <m/>
    <x v="7"/>
    <x v="83"/>
    <n v="16263.9"/>
    <m/>
    <m/>
    <m/>
    <x v="1"/>
    <d v="2023-04-22T00:00:00"/>
    <m/>
    <n v="3252.78"/>
    <m/>
  </r>
  <r>
    <m/>
    <x v="7"/>
    <x v="77"/>
    <n v="16073.5"/>
    <m/>
    <m/>
    <m/>
    <x v="1"/>
    <d v="2023-04-23T00:00:00"/>
    <m/>
    <n v="3214.7000000000003"/>
    <m/>
  </r>
  <r>
    <m/>
    <x v="7"/>
    <x v="84"/>
    <n v="16058.199999999999"/>
    <m/>
    <m/>
    <m/>
    <x v="2"/>
    <d v="2023-04-25T00:00:00"/>
    <m/>
    <n v="802.91"/>
    <m/>
  </r>
  <r>
    <m/>
    <x v="7"/>
    <x v="41"/>
    <n v="13768.3"/>
    <m/>
    <m/>
    <m/>
    <x v="1"/>
    <d v="2023-04-28T00:00:00"/>
    <m/>
    <n v="2753.66"/>
    <m/>
  </r>
  <r>
    <m/>
    <x v="7"/>
    <x v="68"/>
    <n v="8122.5999999999995"/>
    <m/>
    <m/>
    <m/>
    <x v="0"/>
    <d v="2023-04-29T00:00:00"/>
    <m/>
    <n v="812.26"/>
    <m/>
  </r>
  <r>
    <m/>
    <x v="7"/>
    <x v="85"/>
    <n v="12534.1"/>
    <m/>
    <m/>
    <m/>
    <x v="0"/>
    <d v="2023-05-01T00:00:00"/>
    <m/>
    <n v="1253.4100000000001"/>
    <m/>
  </r>
  <r>
    <m/>
    <x v="7"/>
    <x v="86"/>
    <n v="14066.65"/>
    <m/>
    <m/>
    <m/>
    <x v="0"/>
    <d v="2023-05-01T00:00:00"/>
    <m/>
    <n v="1406.665"/>
    <m/>
  </r>
  <r>
    <m/>
    <x v="7"/>
    <x v="87"/>
    <n v="10442.25"/>
    <m/>
    <m/>
    <m/>
    <x v="1"/>
    <d v="2023-05-01T00:00:00"/>
    <m/>
    <n v="2088.4500000000003"/>
    <m/>
  </r>
  <r>
    <m/>
    <x v="7"/>
    <x v="88"/>
    <n v="9152.7999999999993"/>
    <m/>
    <m/>
    <m/>
    <x v="1"/>
    <d v="2023-05-01T00:00:00"/>
    <m/>
    <n v="1830.56"/>
    <m/>
  </r>
  <r>
    <m/>
    <x v="7"/>
    <x v="89"/>
    <n v="13448.699999999999"/>
    <m/>
    <m/>
    <m/>
    <x v="1"/>
    <d v="2023-05-01T00:00:00"/>
    <m/>
    <n v="2689.74"/>
    <m/>
  </r>
  <r>
    <m/>
    <x v="7"/>
    <x v="90"/>
    <n v="14214.55"/>
    <m/>
    <m/>
    <m/>
    <x v="2"/>
    <d v="2023-05-10T00:00:00"/>
    <m/>
    <n v="710.72749999999996"/>
    <m/>
  </r>
  <r>
    <m/>
    <x v="7"/>
    <x v="91"/>
    <n v="16424.55"/>
    <m/>
    <m/>
    <m/>
    <x v="2"/>
    <d v="2023-05-10T00:00:00"/>
    <m/>
    <n v="821.22749999999996"/>
    <m/>
  </r>
  <r>
    <m/>
    <x v="7"/>
    <x v="92"/>
    <n v="13042.4"/>
    <m/>
    <m/>
    <m/>
    <x v="2"/>
    <d v="2023-05-15T00:00:00"/>
    <m/>
    <n v="652.12"/>
    <m/>
  </r>
  <r>
    <m/>
    <x v="7"/>
    <x v="93"/>
    <n v="16263.9"/>
    <m/>
    <m/>
    <m/>
    <x v="2"/>
    <d v="2023-05-15T00:00:00"/>
    <m/>
    <n v="813.19500000000005"/>
    <m/>
  </r>
  <r>
    <m/>
    <x v="7"/>
    <x v="94"/>
    <n v="16073.5"/>
    <m/>
    <m/>
    <m/>
    <x v="1"/>
    <d v="2023-05-15T00:00:00"/>
    <m/>
    <n v="3214.7000000000003"/>
    <m/>
  </r>
  <r>
    <m/>
    <x v="7"/>
    <x v="95"/>
    <n v="16058.199999999999"/>
    <m/>
    <m/>
    <m/>
    <x v="1"/>
    <d v="2023-05-20T00:00:00"/>
    <m/>
    <n v="3211.64"/>
    <m/>
  </r>
  <r>
    <m/>
    <x v="7"/>
    <x v="96"/>
    <n v="13768.3"/>
    <m/>
    <m/>
    <m/>
    <x v="1"/>
    <d v="2023-05-22T00:00:00"/>
    <m/>
    <n v="2753.66"/>
    <m/>
  </r>
  <r>
    <m/>
    <x v="7"/>
    <x v="42"/>
    <n v="8122.5999999999995"/>
    <m/>
    <m/>
    <m/>
    <x v="0"/>
    <d v="2023-05-25T00:00:00"/>
    <m/>
    <n v="812.26"/>
    <m/>
  </r>
  <r>
    <m/>
    <x v="7"/>
    <x v="97"/>
    <n v="6584.9"/>
    <m/>
    <m/>
    <m/>
    <x v="2"/>
    <d v="2023-05-30T00:00:00"/>
    <m/>
    <n v="329.245"/>
    <m/>
  </r>
  <r>
    <m/>
    <x v="7"/>
    <x v="98"/>
    <n v="11084.849999999999"/>
    <m/>
    <m/>
    <m/>
    <x v="2"/>
    <d v="2023-05-30T00:00:00"/>
    <m/>
    <n v="554.24249999999995"/>
    <m/>
  </r>
  <r>
    <m/>
    <x v="7"/>
    <x v="99"/>
    <n v="14569.349999999999"/>
    <m/>
    <m/>
    <m/>
    <x v="2"/>
    <d v="2023-05-30T00:00:00"/>
    <m/>
    <n v="728.46749999999997"/>
    <m/>
  </r>
  <r>
    <m/>
    <x v="7"/>
    <x v="100"/>
    <n v="9489.7999999999993"/>
    <m/>
    <m/>
    <m/>
    <x v="2"/>
    <d v="2023-05-30T00:00:00"/>
    <m/>
    <n v="474.49"/>
    <m/>
  </r>
  <r>
    <m/>
    <x v="7"/>
    <x v="101"/>
    <n v="18232.099999999999"/>
    <m/>
    <m/>
    <m/>
    <x v="1"/>
    <d v="2023-06-01T00:00:00"/>
    <m/>
    <n v="3646.42"/>
    <m/>
  </r>
  <r>
    <m/>
    <x v="7"/>
    <x v="102"/>
    <n v="6990.8499999999995"/>
    <m/>
    <m/>
    <m/>
    <x v="1"/>
    <d v="2023-06-01T00:00:00"/>
    <m/>
    <n v="1398.17"/>
    <m/>
  </r>
  <r>
    <m/>
    <x v="7"/>
    <x v="103"/>
    <n v="17151.099999999999"/>
    <m/>
    <m/>
    <m/>
    <x v="1"/>
    <d v="2023-06-01T00:00:00"/>
    <m/>
    <n v="3430.22"/>
    <m/>
  </r>
  <r>
    <m/>
    <x v="7"/>
    <x v="104"/>
    <n v="11642.599999999999"/>
    <m/>
    <m/>
    <m/>
    <x v="0"/>
    <d v="2023-06-01T00:00:00"/>
    <m/>
    <n v="1164.26"/>
    <m/>
  </r>
  <r>
    <m/>
    <x v="7"/>
    <x v="105"/>
    <n v="10984.8"/>
    <m/>
    <m/>
    <m/>
    <x v="0"/>
    <d v="2023-06-02T00:00:00"/>
    <m/>
    <n v="1098.48"/>
    <m/>
  </r>
  <r>
    <m/>
    <x v="7"/>
    <x v="106"/>
    <n v="18918.649999999998"/>
    <m/>
    <m/>
    <m/>
    <x v="2"/>
    <d v="2023-06-03T00:00:00"/>
    <m/>
    <n v="945.93249999999989"/>
    <m/>
  </r>
  <r>
    <m/>
    <x v="7"/>
    <x v="107"/>
    <n v="8984.9499999999989"/>
    <m/>
    <m/>
    <m/>
    <x v="0"/>
    <d v="2023-06-05T00:00:00"/>
    <m/>
    <n v="898.49499999999989"/>
    <m/>
  </r>
  <r>
    <m/>
    <x v="7"/>
    <x v="108"/>
    <n v="12836.3"/>
    <m/>
    <m/>
    <m/>
    <x v="1"/>
    <d v="2023-06-08T00:00:00"/>
    <m/>
    <n v="2567.2600000000002"/>
    <m/>
  </r>
  <r>
    <m/>
    <x v="7"/>
    <x v="41"/>
    <n v="11766.8"/>
    <m/>
    <m/>
    <m/>
    <x v="0"/>
    <d v="2023-06-09T00:00:00"/>
    <m/>
    <n v="1176.68"/>
    <m/>
  </r>
  <r>
    <m/>
    <x v="7"/>
    <x v="109"/>
    <n v="11665.599999999999"/>
    <m/>
    <m/>
    <m/>
    <x v="2"/>
    <d v="2023-06-10T00:00:00"/>
    <m/>
    <n v="583.28"/>
    <m/>
  </r>
  <r>
    <m/>
    <x v="7"/>
    <x v="110"/>
    <n v="14857.999999999998"/>
    <m/>
    <m/>
    <m/>
    <x v="2"/>
    <d v="2023-06-11T00:00:00"/>
    <m/>
    <n v="742.9"/>
    <m/>
  </r>
  <r>
    <m/>
    <x v="7"/>
    <x v="111"/>
    <n v="13016.849999999999"/>
    <m/>
    <m/>
    <m/>
    <x v="1"/>
    <d v="2023-06-12T00:00:00"/>
    <m/>
    <n v="2603.37"/>
    <m/>
  </r>
  <r>
    <m/>
    <x v="7"/>
    <x v="112"/>
    <n v="20061.75"/>
    <m/>
    <m/>
    <m/>
    <x v="2"/>
    <d v="2023-06-12T00:00:00"/>
    <m/>
    <n v="1003.0875000000001"/>
    <m/>
  </r>
  <r>
    <m/>
    <x v="7"/>
    <x v="113"/>
    <n v="6030.5999999999995"/>
    <m/>
    <m/>
    <m/>
    <x v="1"/>
    <d v="2023-06-15T00:00:00"/>
    <m/>
    <n v="1206.1199999999999"/>
    <m/>
  </r>
  <r>
    <m/>
    <x v="7"/>
    <x v="114"/>
    <n v="12711.24"/>
    <m/>
    <m/>
    <m/>
    <x v="1"/>
    <d v="2023-06-15T00:00:00"/>
    <m/>
    <n v="2542.248"/>
    <m/>
  </r>
  <r>
    <m/>
    <x v="7"/>
    <x v="64"/>
    <n v="14741.5075"/>
    <m/>
    <m/>
    <m/>
    <x v="0"/>
    <d v="2023-06-18T00:00:00"/>
    <m/>
    <n v="1474.15075"/>
    <m/>
  </r>
  <r>
    <m/>
    <x v="7"/>
    <x v="115"/>
    <n v="19427.855"/>
    <m/>
    <m/>
    <m/>
    <x v="1"/>
    <d v="2023-06-18T00:00:00"/>
    <m/>
    <n v="3885.5709999999999"/>
    <m/>
  </r>
  <r>
    <m/>
    <x v="7"/>
    <x v="116"/>
    <n v="21803.307499999999"/>
    <m/>
    <m/>
    <m/>
    <x v="2"/>
    <d v="2023-06-18T00:00:00"/>
    <m/>
    <n v="1090.165375"/>
    <m/>
  </r>
  <r>
    <s v="Kelly"/>
    <x v="0"/>
    <x v="0"/>
    <n v="14965"/>
    <s v="WON"/>
    <n v="1"/>
    <n v="14965"/>
    <x v="0"/>
    <d v="2023-01-01T00:00:00"/>
    <s v="Received Signed Proposal"/>
    <n v="1496.5"/>
    <m/>
  </r>
  <r>
    <s v="Kelly"/>
    <x v="0"/>
    <x v="1"/>
    <n v="16549"/>
    <s v="WON"/>
    <n v="1"/>
    <n v="16549"/>
    <x v="1"/>
    <d v="2023-01-01T00:00:00"/>
    <s v="Received."/>
    <n v="3309.8"/>
    <m/>
  </r>
  <r>
    <s v="Kelly"/>
    <x v="0"/>
    <x v="2"/>
    <n v="12285"/>
    <s v="WON"/>
    <n v="1"/>
    <n v="12285"/>
    <x v="0"/>
    <d v="2023-01-01T00:00:00"/>
    <m/>
    <n v="1228.5"/>
    <m/>
  </r>
  <r>
    <s v="Kelly"/>
    <x v="0"/>
    <x v="3"/>
    <n v="10768"/>
    <s v="WON"/>
    <n v="1"/>
    <n v="10768"/>
    <x v="0"/>
    <d v="2023-01-01T00:00:00"/>
    <m/>
    <n v="1076.8"/>
    <m/>
  </r>
  <r>
    <s v="Kelly"/>
    <x v="0"/>
    <x v="7"/>
    <n v="15344"/>
    <s v="WON"/>
    <n v="1"/>
    <n v="15344"/>
    <x v="2"/>
    <d v="2023-01-01T00:00:00"/>
    <m/>
    <n v="767.2"/>
    <m/>
  </r>
  <r>
    <s v="Kelly"/>
    <x v="0"/>
    <x v="10"/>
    <n v="18892"/>
    <s v="WON"/>
    <n v="1"/>
    <n v="18892"/>
    <x v="0"/>
    <d v="2023-01-09T00:00:00"/>
    <m/>
    <n v="1889.2"/>
    <m/>
  </r>
  <r>
    <s v="Kelly"/>
    <x v="0"/>
    <x v="11"/>
    <n v="16198"/>
    <s v="WON"/>
    <n v="1"/>
    <n v="16198"/>
    <x v="0"/>
    <d v="2023-01-12T00:00:00"/>
    <m/>
    <n v="1619.8000000000002"/>
    <m/>
  </r>
  <r>
    <s v="Kelly"/>
    <x v="0"/>
    <x v="12"/>
    <n v="9556"/>
    <s v="WON"/>
    <n v="1"/>
    <n v="9556"/>
    <x v="1"/>
    <d v="2023-01-12T00:00:00"/>
    <m/>
    <n v="1911.2"/>
    <m/>
  </r>
  <r>
    <s v="Kelly"/>
    <x v="0"/>
    <x v="14"/>
    <n v="5388"/>
    <s v="WON"/>
    <n v="1"/>
    <n v="5388"/>
    <x v="0"/>
    <d v="2023-01-15T00:00:00"/>
    <m/>
    <n v="538.80000000000007"/>
    <m/>
  </r>
  <r>
    <s v="Kelly"/>
    <x v="0"/>
    <x v="18"/>
    <n v="16225"/>
    <s v="WON"/>
    <n v="1"/>
    <n v="16225"/>
    <x v="2"/>
    <d v="2023-01-15T00:00:00"/>
    <m/>
    <n v="811.25"/>
    <m/>
  </r>
  <r>
    <s v="Kelly"/>
    <x v="0"/>
    <x v="22"/>
    <n v="17754"/>
    <s v="WON"/>
    <n v="1"/>
    <n v="17754"/>
    <x v="2"/>
    <d v="2023-01-23T00:00:00"/>
    <m/>
    <n v="887.7"/>
    <m/>
  </r>
  <r>
    <s v="Kelly"/>
    <x v="0"/>
    <x v="29"/>
    <n v="5726"/>
    <s v="WON"/>
    <n v="1"/>
    <n v="5726"/>
    <x v="2"/>
    <d v="2023-01-30T00:00:00"/>
    <m/>
    <n v="286.3"/>
    <m/>
  </r>
  <r>
    <s v="Kelly"/>
    <x v="1"/>
    <x v="30"/>
    <n v="9639"/>
    <s v="WON"/>
    <n v="1"/>
    <n v="9639"/>
    <x v="0"/>
    <d v="2023-02-01T00:00:00"/>
    <m/>
    <n v="963.90000000000009"/>
    <m/>
  </r>
  <r>
    <s v="Kelly"/>
    <x v="1"/>
    <x v="31"/>
    <n v="12669"/>
    <s v="WON"/>
    <n v="1"/>
    <n v="12669"/>
    <x v="1"/>
    <d v="2023-02-01T00:00:00"/>
    <m/>
    <n v="2533.8000000000002"/>
    <m/>
  </r>
  <r>
    <s v="Kelly"/>
    <x v="1"/>
    <x v="36"/>
    <n v="10124"/>
    <s v="WON"/>
    <n v="1"/>
    <n v="10124"/>
    <x v="2"/>
    <d v="2023-02-10T00:00:00"/>
    <m/>
    <n v="506.20000000000005"/>
    <m/>
  </r>
  <r>
    <s v="Kelly"/>
    <x v="1"/>
    <x v="37"/>
    <n v="9552"/>
    <s v="WON"/>
    <n v="1"/>
    <n v="9552"/>
    <x v="1"/>
    <d v="2023-02-12T00:00:00"/>
    <m/>
    <n v="1910.4"/>
    <m/>
  </r>
  <r>
    <s v="Kelly"/>
    <x v="1"/>
    <x v="38"/>
    <n v="16451"/>
    <s v="WON"/>
    <n v="1"/>
    <n v="16451"/>
    <x v="2"/>
    <d v="2023-02-12T00:00:00"/>
    <m/>
    <n v="822.55000000000007"/>
    <m/>
  </r>
  <r>
    <s v="Kelly"/>
    <x v="1"/>
    <x v="47"/>
    <n v="11189"/>
    <s v="WON"/>
    <n v="1"/>
    <n v="11189"/>
    <x v="0"/>
    <d v="2023-02-19T00:00:00"/>
    <m/>
    <n v="1118.9000000000001"/>
    <m/>
  </r>
  <r>
    <s v="Kelly"/>
    <x v="1"/>
    <x v="51"/>
    <n v="10768"/>
    <s v="WON"/>
    <n v="1"/>
    <n v="10768"/>
    <x v="2"/>
    <d v="2023-02-28T00:00:00"/>
    <m/>
    <n v="538.4"/>
    <m/>
  </r>
  <r>
    <s v="Kelly"/>
    <x v="8"/>
    <x v="52"/>
    <n v="15822"/>
    <s v="WON"/>
    <n v="1"/>
    <n v="15822"/>
    <x v="2"/>
    <d v="2023-03-01T00:00:00"/>
    <m/>
    <n v="791.1"/>
    <m/>
  </r>
  <r>
    <s v="Kelly"/>
    <x v="8"/>
    <x v="58"/>
    <n v="18892"/>
    <s v="WON"/>
    <n v="1"/>
    <n v="18892"/>
    <x v="2"/>
    <d v="2023-03-11T00:00:00"/>
    <m/>
    <n v="944.6"/>
    <m/>
  </r>
  <r>
    <s v="Kelly"/>
    <x v="8"/>
    <x v="59"/>
    <n v="16198"/>
    <s v="WON"/>
    <n v="1"/>
    <n v="16198"/>
    <x v="1"/>
    <d v="2023-03-15T00:00:00"/>
    <m/>
    <n v="3239.6000000000004"/>
    <m/>
  </r>
  <r>
    <s v="Kelly"/>
    <x v="8"/>
    <x v="24"/>
    <n v="12285"/>
    <s v="WON"/>
    <n v="1"/>
    <n v="12285"/>
    <x v="0"/>
    <d v="2023-03-18T00:00:00"/>
    <m/>
    <n v="1228.5"/>
    <m/>
  </r>
  <r>
    <s v="Kelly"/>
    <x v="8"/>
    <x v="65"/>
    <n v="16723"/>
    <s v="WON"/>
    <n v="1"/>
    <n v="16723"/>
    <x v="0"/>
    <d v="2023-03-19T00:00:00"/>
    <m/>
    <n v="1672.3000000000002"/>
    <m/>
  </r>
  <r>
    <s v="Kelly"/>
    <x v="8"/>
    <x v="68"/>
    <n v="19134"/>
    <s v="WON"/>
    <n v="1"/>
    <n v="19134"/>
    <x v="1"/>
    <d v="2023-03-23T00:00:00"/>
    <m/>
    <n v="3826.8"/>
    <m/>
  </r>
  <r>
    <s v="Kelly"/>
    <x v="3"/>
    <x v="71"/>
    <n v="16198"/>
    <s v="WON"/>
    <n v="1"/>
    <n v="16198"/>
    <x v="1"/>
    <d v="2023-04-05T00:00:00"/>
    <m/>
    <n v="3239.6000000000004"/>
    <m/>
  </r>
  <r>
    <s v="Kelly"/>
    <x v="3"/>
    <x v="75"/>
    <n v="12534.1"/>
    <s v="WON"/>
    <n v="1"/>
    <n v="12534.1"/>
    <x v="2"/>
    <d v="2023-04-12T00:00:00"/>
    <m/>
    <n v="626.70500000000004"/>
    <m/>
  </r>
  <r>
    <s v="Kelly"/>
    <x v="3"/>
    <x v="78"/>
    <n v="9152.7999999999993"/>
    <s v="WON"/>
    <n v="1"/>
    <n v="9152.7999999999993"/>
    <x v="2"/>
    <d v="2023-04-15T00:00:00"/>
    <m/>
    <n v="457.64"/>
    <m/>
  </r>
  <r>
    <s v="Kelly"/>
    <x v="3"/>
    <x v="80"/>
    <n v="14214.55"/>
    <s v="WON"/>
    <n v="1"/>
    <n v="14214.55"/>
    <x v="1"/>
    <d v="2023-04-19T00:00:00"/>
    <m/>
    <n v="2842.91"/>
    <m/>
  </r>
  <r>
    <s v="Kelly"/>
    <x v="3"/>
    <x v="82"/>
    <n v="13042.4"/>
    <s v="WON"/>
    <n v="1"/>
    <n v="13042.4"/>
    <x v="0"/>
    <d v="2023-04-22T00:00:00"/>
    <m/>
    <n v="1304.24"/>
    <m/>
  </r>
  <r>
    <s v="Kelly"/>
    <x v="3"/>
    <x v="41"/>
    <n v="13768.3"/>
    <s v="WON"/>
    <n v="1"/>
    <n v="13768.3"/>
    <x v="1"/>
    <d v="2023-04-28T00:00:00"/>
    <m/>
    <n v="2753.66"/>
    <m/>
  </r>
  <r>
    <s v="Kelly"/>
    <x v="3"/>
    <x v="68"/>
    <n v="8122.6"/>
    <s v="WON"/>
    <n v="1"/>
    <n v="8122.6"/>
    <x v="0"/>
    <d v="2023-04-29T00:00:00"/>
    <m/>
    <n v="812.2600000000001"/>
    <m/>
  </r>
  <r>
    <s v="Kelly"/>
    <x v="4"/>
    <x v="85"/>
    <n v="12534.1"/>
    <s v="WON"/>
    <n v="1"/>
    <n v="12534.1"/>
    <x v="0"/>
    <d v="2023-05-01T00:00:00"/>
    <m/>
    <n v="1253.4100000000001"/>
    <m/>
  </r>
  <r>
    <s v="Kelly"/>
    <x v="4"/>
    <x v="86"/>
    <n v="14066.65"/>
    <s v="WON"/>
    <n v="1"/>
    <n v="14066.65"/>
    <x v="0"/>
    <d v="2023-05-01T00:00:00"/>
    <m/>
    <n v="1406.665"/>
    <m/>
  </r>
  <r>
    <s v="Kelly"/>
    <x v="4"/>
    <x v="87"/>
    <n v="10442.25"/>
    <s v="WON"/>
    <n v="1"/>
    <n v="10442.25"/>
    <x v="1"/>
    <d v="2023-05-01T00:00:00"/>
    <m/>
    <n v="2088.4500000000003"/>
    <m/>
  </r>
  <r>
    <s v="Kelly"/>
    <x v="4"/>
    <x v="88"/>
    <n v="9152.7999999999993"/>
    <s v="WON"/>
    <n v="1"/>
    <n v="9152.7999999999993"/>
    <x v="1"/>
    <d v="2023-05-01T00:00:00"/>
    <m/>
    <n v="1830.56"/>
    <m/>
  </r>
  <r>
    <s v="Kelly"/>
    <x v="4"/>
    <x v="96"/>
    <n v="13768.3"/>
    <s v="WON"/>
    <n v="1"/>
    <n v="13768.3"/>
    <x v="1"/>
    <d v="2023-05-22T00:00:00"/>
    <m/>
    <n v="2753.66"/>
    <m/>
  </r>
  <r>
    <s v="Kelly"/>
    <x v="4"/>
    <x v="42"/>
    <n v="8122.6"/>
    <s v="WON"/>
    <n v="1"/>
    <n v="8122.6"/>
    <x v="0"/>
    <d v="2023-05-25T00:00:00"/>
    <m/>
    <n v="812.2600000000001"/>
    <m/>
  </r>
  <r>
    <s v="Kelly"/>
    <x v="5"/>
    <x v="101"/>
    <n v="18232.099999999999"/>
    <s v="WON"/>
    <n v="1"/>
    <n v="18232.099999999999"/>
    <x v="1"/>
    <d v="2023-06-01T00:00:00"/>
    <m/>
    <n v="3646.42"/>
    <m/>
  </r>
  <r>
    <s v="Kelly"/>
    <x v="5"/>
    <x v="102"/>
    <n v="6990.85"/>
    <s v="WON"/>
    <n v="1"/>
    <n v="6990.85"/>
    <x v="1"/>
    <d v="2023-06-01T00:00:00"/>
    <m/>
    <n v="1398.17"/>
    <m/>
  </r>
  <r>
    <s v="Kelly"/>
    <x v="5"/>
    <x v="105"/>
    <n v="10984.8"/>
    <s v="WON"/>
    <n v="1"/>
    <n v="10984.8"/>
    <x v="0"/>
    <d v="2023-06-02T00:00:00"/>
    <m/>
    <n v="1098.48"/>
    <m/>
  </r>
  <r>
    <s v="Kelly"/>
    <x v="5"/>
    <x v="106"/>
    <n v="18918.650000000001"/>
    <s v="WON"/>
    <n v="1"/>
    <n v="18918.650000000001"/>
    <x v="2"/>
    <d v="2023-06-03T00:00:00"/>
    <m/>
    <n v="945.93250000000012"/>
    <m/>
  </r>
  <r>
    <s v="Kelly"/>
    <x v="5"/>
    <x v="41"/>
    <n v="11766.8"/>
    <s v="WON"/>
    <n v="1"/>
    <n v="11766.8"/>
    <x v="0"/>
    <d v="2023-06-09T00:00:00"/>
    <m/>
    <n v="1176.68"/>
    <m/>
  </r>
  <r>
    <s v="Kelly"/>
    <x v="5"/>
    <x v="112"/>
    <n v="20061.75"/>
    <s v="WON"/>
    <n v="1"/>
    <n v="20061.75"/>
    <x v="2"/>
    <d v="2023-06-12T00:00:00"/>
    <m/>
    <n v="1003.0875000000001"/>
    <m/>
  </r>
  <r>
    <s v="Kelly"/>
    <x v="5"/>
    <x v="64"/>
    <n v="14741.51"/>
    <s v="WON"/>
    <n v="1"/>
    <n v="14741.51"/>
    <x v="0"/>
    <d v="2023-06-18T00:00:00"/>
    <m/>
    <n v="1474.1510000000001"/>
    <m/>
  </r>
  <r>
    <s v="Kelly"/>
    <x v="5"/>
    <x v="115"/>
    <n v="19427.86"/>
    <s v="WON"/>
    <n v="1"/>
    <n v="19427.86"/>
    <x v="1"/>
    <d v="2023-06-18T00:00:00"/>
    <m/>
    <n v="3885.5720000000001"/>
    <m/>
  </r>
  <r>
    <s v="Kelly"/>
    <x v="5"/>
    <x v="117"/>
    <n v="20845.490000000002"/>
    <s v="WON"/>
    <n v="1"/>
    <n v="20845.490000000002"/>
    <x v="2"/>
    <d v="2023-06-19T00:00:00"/>
    <m/>
    <n v="1042.2745000000002"/>
    <m/>
  </r>
  <r>
    <s v="Kelly"/>
    <x v="5"/>
    <x v="77"/>
    <n v="22032.55"/>
    <s v="WON"/>
    <n v="1"/>
    <n v="22032.55"/>
    <x v="0"/>
    <d v="2023-06-30T00:00:00"/>
    <m/>
    <n v="2203.2550000000001"/>
    <m/>
  </r>
  <r>
    <s v="Kelly"/>
    <x v="5"/>
    <x v="118"/>
    <n v="25458.05"/>
    <s v="WON"/>
    <n v="1"/>
    <n v="25458.05"/>
    <x v="1"/>
    <d v="2023-06-30T00:00:00"/>
    <m/>
    <n v="5091.6100000000006"/>
    <m/>
  </r>
  <r>
    <s v="Kelly"/>
    <x v="5"/>
    <x v="119"/>
    <n v="19427.86"/>
    <s v="WON"/>
    <n v="1"/>
    <n v="19427.86"/>
    <x v="2"/>
    <d v="2023-06-30T00:00:00"/>
    <m/>
    <n v="971.39300000000003"/>
    <m/>
  </r>
  <r>
    <s v="Kelly"/>
    <x v="9"/>
    <x v="120"/>
    <n v="21803.31"/>
    <s v="WON"/>
    <n v="1"/>
    <n v="21803.31"/>
    <x v="1"/>
    <d v="2023-07-02T00:00:00"/>
    <m/>
    <n v="4360.6620000000003"/>
    <m/>
  </r>
  <r>
    <s v="Kelly"/>
    <x v="9"/>
    <x v="121"/>
    <n v="16185.49"/>
    <s v="WON"/>
    <n v="1"/>
    <n v="16185.49"/>
    <x v="1"/>
    <d v="2023-07-03T00:00:00"/>
    <m/>
    <n v="3237.098"/>
    <m/>
  </r>
  <r>
    <s v="Kelly"/>
    <x v="9"/>
    <x v="111"/>
    <n v="14186.84"/>
    <s v="WON"/>
    <n v="1"/>
    <n v="14186.84"/>
    <x v="0"/>
    <d v="2023-07-05T00:00:00"/>
    <m/>
    <n v="1418.6840000000002"/>
    <m/>
  </r>
  <r>
    <s v="Kelly"/>
    <x v="9"/>
    <x v="122"/>
    <n v="20215.72"/>
    <s v="WON"/>
    <n v="1"/>
    <n v="20215.72"/>
    <x v="2"/>
    <d v="2023-07-10T00:00:00"/>
    <m/>
    <n v="1010.7860000000001"/>
    <m/>
  </r>
  <r>
    <s v="Kelly"/>
    <x v="9"/>
    <x v="123"/>
    <n v="25209.05"/>
    <s v="WON"/>
    <n v="1"/>
    <n v="25209.05"/>
    <x v="2"/>
    <d v="2023-07-12T00:00:00"/>
    <m/>
    <n v="1260.4525000000001"/>
    <m/>
  </r>
  <r>
    <s v="Kelly"/>
    <x v="9"/>
    <x v="31"/>
    <n v="24913.93"/>
    <s v="WON"/>
    <n v="1"/>
    <n v="24913.93"/>
    <x v="0"/>
    <d v="2023-07-13T00:00:00"/>
    <m/>
    <n v="2491.393"/>
    <m/>
  </r>
  <r>
    <s v="Kelly"/>
    <x v="9"/>
    <x v="124"/>
    <n v="10206.6"/>
    <s v="WON"/>
    <n v="1"/>
    <n v="10206.6"/>
    <x v="2"/>
    <d v="2023-07-22T00:00:00"/>
    <m/>
    <n v="510.33000000000004"/>
    <m/>
  </r>
  <r>
    <s v="Kelly"/>
    <x v="9"/>
    <x v="89"/>
    <n v="17181.52"/>
    <s v="WON"/>
    <n v="1"/>
    <n v="17181.52"/>
    <x v="0"/>
    <d v="2023-07-25T00:00:00"/>
    <m/>
    <n v="1718.152"/>
    <m/>
  </r>
  <r>
    <s v="Kelly"/>
    <x v="9"/>
    <x v="125"/>
    <n v="10835.82"/>
    <s v="WON"/>
    <n v="1"/>
    <n v="10835.82"/>
    <x v="0"/>
    <d v="2023-07-30T00:00:00"/>
    <m/>
    <n v="1083.5820000000001"/>
    <m/>
  </r>
  <r>
    <s v="Kelly"/>
    <x v="10"/>
    <x v="126"/>
    <n v="26584.21"/>
    <s v="WON"/>
    <n v="1"/>
    <n v="26584.21"/>
    <x v="0"/>
    <d v="2023-08-02T00:00:00"/>
    <m/>
    <n v="2658.4210000000003"/>
    <m/>
  </r>
  <r>
    <s v="Kelly"/>
    <x v="10"/>
    <x v="127"/>
    <n v="17026.439999999999"/>
    <s v="WON"/>
    <n v="1"/>
    <n v="17026.439999999999"/>
    <x v="2"/>
    <d v="2023-08-02T00:00:00"/>
    <m/>
    <n v="851.322"/>
    <m/>
  </r>
  <r>
    <s v="Kelly"/>
    <x v="10"/>
    <x v="128"/>
    <n v="29323.91"/>
    <s v="WON"/>
    <n v="1"/>
    <n v="29323.91"/>
    <x v="1"/>
    <d v="2023-08-04T00:00:00"/>
    <m/>
    <n v="5864.7820000000002"/>
    <m/>
  </r>
  <r>
    <s v="Kelly"/>
    <x v="10"/>
    <x v="10"/>
    <n v="19896.27"/>
    <s v="WON"/>
    <n v="1"/>
    <n v="19896.27"/>
    <x v="1"/>
    <d v="2023-08-10T00:00:00"/>
    <m/>
    <n v="3979.2540000000004"/>
    <m/>
  </r>
  <r>
    <s v="Kelly"/>
    <x v="10"/>
    <x v="129"/>
    <n v="18081.68"/>
    <s v="WON"/>
    <n v="1"/>
    <n v="18081.68"/>
    <x v="0"/>
    <d v="2023-08-14T00:00:00"/>
    <m/>
    <n v="1808.1680000000001"/>
    <m/>
  </r>
  <r>
    <s v="Kelly"/>
    <x v="10"/>
    <x v="88"/>
    <n v="23029.9"/>
    <s v="WON"/>
    <n v="1"/>
    <n v="23029.9"/>
    <x v="0"/>
    <d v="2023-08-14T00:00:00"/>
    <m/>
    <n v="2302.9900000000002"/>
    <m/>
  </r>
  <r>
    <s v="Kelly"/>
    <x v="10"/>
    <x v="130"/>
    <n v="9347.43"/>
    <s v="WON"/>
    <n v="1"/>
    <n v="9347.43"/>
    <x v="2"/>
    <d v="2023-08-15T00:00:00"/>
    <m/>
    <n v="467.37150000000003"/>
    <m/>
  </r>
  <r>
    <s v="Kelly"/>
    <x v="10"/>
    <x v="131"/>
    <n v="9020.8799999999992"/>
    <s v="WON"/>
    <n v="1"/>
    <n v="9020.8799999999992"/>
    <x v="2"/>
    <d v="2023-08-20T00:00:00"/>
    <m/>
    <n v="451.04399999999998"/>
    <m/>
  </r>
  <r>
    <s v="Kelly"/>
    <x v="10"/>
    <x v="113"/>
    <n v="10461.719999999999"/>
    <s v="WON"/>
    <n v="1"/>
    <n v="10461.719999999999"/>
    <x v="0"/>
    <d v="2023-08-23T00:00:00"/>
    <m/>
    <n v="1046.172"/>
    <m/>
  </r>
  <r>
    <s v="Kelly"/>
    <x v="10"/>
    <x v="132"/>
    <n v="15473.32"/>
    <s v="WON"/>
    <n v="1"/>
    <n v="15473.32"/>
    <x v="1"/>
    <d v="2023-08-24T00:00:00"/>
    <m/>
    <n v="3094.6640000000002"/>
    <m/>
  </r>
  <r>
    <s v="Kelly"/>
    <x v="10"/>
    <x v="133"/>
    <n v="10068.08"/>
    <s v="WON"/>
    <n v="1"/>
    <n v="10068.08"/>
    <x v="0"/>
    <d v="2023-08-27T00:00:00"/>
    <m/>
    <n v="1006.808"/>
    <m/>
  </r>
  <r>
    <s v="Kelly"/>
    <x v="6"/>
    <x v="134"/>
    <n v="15636.01"/>
    <s v="WON"/>
    <n v="1"/>
    <n v="15636.01"/>
    <x v="1"/>
    <d v="2023-09-01T00:00:00"/>
    <m/>
    <n v="3127.2020000000002"/>
    <m/>
  </r>
  <r>
    <s v="Kelly"/>
    <x v="6"/>
    <x v="135"/>
    <n v="18067.009999999998"/>
    <s v="WON"/>
    <n v="1"/>
    <n v="18067.009999999998"/>
    <x v="1"/>
    <d v="2023-09-01T00:00:00"/>
    <m/>
    <n v="3613.402"/>
    <m/>
  </r>
  <r>
    <s v="Kelly"/>
    <x v="6"/>
    <x v="136"/>
    <n v="17664.02"/>
    <s v="WON"/>
    <n v="1"/>
    <n v="17664.02"/>
    <x v="2"/>
    <d v="2023-09-01T00:00:00"/>
    <m/>
    <n v="883.20100000000002"/>
    <m/>
  </r>
  <r>
    <s v="Kelly"/>
    <x v="6"/>
    <x v="137"/>
    <n v="8934.86"/>
    <s v="WON"/>
    <n v="1"/>
    <n v="8934.86"/>
    <x v="1"/>
    <d v="2023-09-05T00:00:00"/>
    <m/>
    <n v="1786.9720000000002"/>
    <m/>
  </r>
  <r>
    <s v="Kelly"/>
    <x v="6"/>
    <x v="138"/>
    <n v="15473.32"/>
    <s v="WON"/>
    <n v="1"/>
    <n v="15473.32"/>
    <x v="2"/>
    <d v="2023-09-05T00:00:00"/>
    <m/>
    <n v="773.66600000000005"/>
    <m/>
  </r>
  <r>
    <s v="Kelly"/>
    <x v="6"/>
    <x v="139"/>
    <n v="11486.48"/>
    <s v="WON"/>
    <n v="1"/>
    <n v="11486.48"/>
    <x v="2"/>
    <d v="2023-09-05T00:00:00"/>
    <m/>
    <n v="574.32399999999996"/>
    <m/>
  </r>
  <r>
    <s v="Kelly"/>
    <x v="6"/>
    <x v="140"/>
    <n v="10068.08"/>
    <s v="WON"/>
    <n v="1"/>
    <n v="10068.08"/>
    <x v="1"/>
    <d v="2023-09-07T00:00:00"/>
    <m/>
    <n v="2013.616"/>
    <m/>
  </r>
  <r>
    <m/>
    <x v="7"/>
    <x v="141"/>
    <n v="17664.02"/>
    <s v="WON"/>
    <n v="1"/>
    <n v="17664.02"/>
    <x v="2"/>
    <d v="2023-09-20T00:00:00"/>
    <s v="Appointment set"/>
    <n v="883.20100000000002"/>
    <m/>
  </r>
  <r>
    <m/>
    <x v="7"/>
    <x v="142"/>
    <n v="15145.130000000001"/>
    <s v="WON"/>
    <n v="1"/>
    <n v="15145.130000000001"/>
    <x v="2"/>
    <d v="2023-09-30T00:00:00"/>
    <m/>
    <n v="757.25650000000007"/>
    <m/>
  </r>
  <r>
    <m/>
    <x v="7"/>
    <x v="143"/>
    <n v="8934.86"/>
    <s v="WON"/>
    <n v="1"/>
    <n v="8934.86"/>
    <x v="2"/>
    <d v="2023-09-30T00:00:00"/>
    <s v="Havent heard back yet"/>
    <n v="446.74300000000005"/>
    <m/>
  </r>
  <r>
    <m/>
    <x v="7"/>
    <x v="144"/>
    <n v="7243.39"/>
    <s v="WON"/>
    <n v="1"/>
    <n v="7243.39"/>
    <x v="2"/>
    <d v="2023-09-30T00:00:00"/>
    <m/>
    <n v="362.16950000000003"/>
    <m/>
  </r>
  <r>
    <m/>
    <x v="7"/>
    <x v="145"/>
    <n v="20055.310000000001"/>
    <s v="WON"/>
    <n v="1"/>
    <n v="20055.310000000001"/>
    <x v="2"/>
    <d v="2023-10-01T00:00:00"/>
    <m/>
    <n v="1002.7655000000001"/>
    <m/>
  </r>
  <r>
    <m/>
    <x v="7"/>
    <x v="146"/>
    <n v="7689.9350000000004"/>
    <s v="WON"/>
    <n v="1"/>
    <n v="7689.9350000000004"/>
    <x v="2"/>
    <d v="2023-10-01T00:00:00"/>
    <m/>
    <n v="384.49675000000002"/>
    <m/>
  </r>
  <r>
    <m/>
    <x v="7"/>
    <x v="147"/>
    <n v="12806.859999999999"/>
    <s v="WON"/>
    <n v="1"/>
    <n v="12806.859999999999"/>
    <x v="1"/>
    <d v="2023-10-01T00:00:00"/>
    <s v="waiting on approvals"/>
    <n v="2561.3719999999998"/>
    <m/>
  </r>
  <r>
    <m/>
    <x v="7"/>
    <x v="148"/>
    <n v="20810.514999999999"/>
    <s v="WON"/>
    <n v="1"/>
    <n v="20810.514999999999"/>
    <x v="0"/>
    <d v="2023-10-01T00:00:00"/>
    <m/>
    <n v="2081.051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D48D844-64C3-4BA6-B54D-913F5A2F50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2:AD59" firstHeaderRow="1" firstDataRow="1" firstDataCol="1"/>
  <pivotFields count="10">
    <pivotField showAll="0"/>
    <pivotField showAll="0"/>
    <pivotField axis="axisRow" showAll="0" sortType="descending">
      <items count="240">
        <item m="1" x="93"/>
        <item x="52"/>
        <item m="1" x="170"/>
        <item m="1" x="73"/>
        <item m="1" x="147"/>
        <item m="1" x="169"/>
        <item x="30"/>
        <item m="1" x="76"/>
        <item m="1" x="197"/>
        <item m="1" x="138"/>
        <item m="1" x="74"/>
        <item m="1" x="97"/>
        <item m="1" x="208"/>
        <item x="21"/>
        <item m="1" x="135"/>
        <item m="1" x="126"/>
        <item m="1" x="153"/>
        <item m="1" x="165"/>
        <item x="12"/>
        <item m="1" x="122"/>
        <item m="1" x="148"/>
        <item x="3"/>
        <item m="1" x="65"/>
        <item m="1" x="81"/>
        <item m="1" x="136"/>
        <item m="1" x="137"/>
        <item m="1" x="194"/>
        <item m="1" x="75"/>
        <item m="1" x="145"/>
        <item x="14"/>
        <item x="38"/>
        <item m="1" x="154"/>
        <item m="1" x="140"/>
        <item m="1" x="121"/>
        <item x="42"/>
        <item m="1" x="92"/>
        <item m="1" x="157"/>
        <item x="54"/>
        <item x="0"/>
        <item m="1" x="107"/>
        <item m="1" x="60"/>
        <item m="1" x="203"/>
        <item m="1" x="129"/>
        <item m="1" x="155"/>
        <item m="1" x="182"/>
        <item m="1" x="95"/>
        <item x="13"/>
        <item m="1" x="114"/>
        <item x="2"/>
        <item x="46"/>
        <item m="1" x="131"/>
        <item m="1" x="231"/>
        <item x="39"/>
        <item m="1" x="177"/>
        <item m="1" x="151"/>
        <item m="1" x="198"/>
        <item m="1" x="223"/>
        <item m="1" x="227"/>
        <item m="1" x="119"/>
        <item x="41"/>
        <item x="4"/>
        <item m="1" x="139"/>
        <item m="1" x="149"/>
        <item m="1" x="70"/>
        <item x="50"/>
        <item m="1" x="120"/>
        <item m="1" x="183"/>
        <item m="1" x="57"/>
        <item x="49"/>
        <item m="1" x="195"/>
        <item x="44"/>
        <item m="1" x="66"/>
        <item x="31"/>
        <item m="1" x="178"/>
        <item x="47"/>
        <item m="1" x="118"/>
        <item m="1" x="104"/>
        <item x="10"/>
        <item m="1" x="80"/>
        <item x="25"/>
        <item x="55"/>
        <item m="1" x="191"/>
        <item m="1" x="112"/>
        <item m="1" x="189"/>
        <item m="1" x="68"/>
        <item m="1" x="103"/>
        <item m="1" x="224"/>
        <item m="1" x="161"/>
        <item m="1" x="64"/>
        <item m="1" x="225"/>
        <item m="1" x="102"/>
        <item x="43"/>
        <item m="1" x="233"/>
        <item x="1"/>
        <item x="20"/>
        <item m="1" x="237"/>
        <item x="8"/>
        <item m="1" x="174"/>
        <item m="1" x="77"/>
        <item m="1" x="188"/>
        <item m="1" x="214"/>
        <item m="1" x="152"/>
        <item m="1" x="201"/>
        <item m="1" x="71"/>
        <item m="1" x="219"/>
        <item m="1" x="63"/>
        <item m="1" x="82"/>
        <item m="1" x="91"/>
        <item x="16"/>
        <item m="1" x="83"/>
        <item x="48"/>
        <item m="1" x="141"/>
        <item m="1" x="211"/>
        <item m="1" x="124"/>
        <item m="1" x="192"/>
        <item m="1" x="186"/>
        <item m="1" x="171"/>
        <item x="7"/>
        <item m="1" x="133"/>
        <item m="1" x="235"/>
        <item m="1" x="207"/>
        <item m="1" x="89"/>
        <item m="1" x="215"/>
        <item x="18"/>
        <item x="35"/>
        <item m="1" x="88"/>
        <item m="1" x="213"/>
        <item m="1" x="59"/>
        <item m="1" x="172"/>
        <item x="9"/>
        <item m="1" x="132"/>
        <item m="1" x="130"/>
        <item m="1" x="56"/>
        <item m="1" x="117"/>
        <item x="19"/>
        <item m="1" x="160"/>
        <item x="28"/>
        <item m="1" x="87"/>
        <item x="32"/>
        <item m="1" x="229"/>
        <item m="1" x="185"/>
        <item m="1" x="111"/>
        <item m="1" x="61"/>
        <item x="40"/>
        <item m="1" x="163"/>
        <item m="1" x="72"/>
        <item m="1" x="100"/>
        <item m="1" x="234"/>
        <item x="45"/>
        <item m="1" x="184"/>
        <item x="53"/>
        <item m="1" x="238"/>
        <item m="1" x="105"/>
        <item m="1" x="144"/>
        <item x="15"/>
        <item x="11"/>
        <item m="1" x="79"/>
        <item x="23"/>
        <item x="51"/>
        <item m="1" x="179"/>
        <item m="1" x="202"/>
        <item m="1" x="128"/>
        <item x="22"/>
        <item x="37"/>
        <item m="1" x="94"/>
        <item m="1" x="134"/>
        <item m="1" x="218"/>
        <item x="17"/>
        <item m="1" x="125"/>
        <item m="1" x="190"/>
        <item m="1" x="232"/>
        <item m="1" x="115"/>
        <item m="1" x="158"/>
        <item m="1" x="101"/>
        <item m="1" x="168"/>
        <item m="1" x="62"/>
        <item x="34"/>
        <item m="1" x="108"/>
        <item m="1" x="176"/>
        <item m="1" x="181"/>
        <item m="1" x="164"/>
        <item m="1" x="150"/>
        <item m="1" x="113"/>
        <item m="1" x="84"/>
        <item m="1" x="146"/>
        <item m="1" x="110"/>
        <item m="1" x="123"/>
        <item m="1" x="216"/>
        <item m="1" x="162"/>
        <item m="1" x="69"/>
        <item x="6"/>
        <item x="33"/>
        <item m="1" x="167"/>
        <item x="36"/>
        <item m="1" x="142"/>
        <item x="26"/>
        <item m="1" x="206"/>
        <item m="1" x="116"/>
        <item m="1" x="199"/>
        <item m="1" x="127"/>
        <item x="27"/>
        <item m="1" x="98"/>
        <item m="1" x="205"/>
        <item m="1" x="220"/>
        <item x="24"/>
        <item m="1" x="159"/>
        <item m="1" x="96"/>
        <item m="1" x="90"/>
        <item m="1" x="58"/>
        <item m="1" x="193"/>
        <item m="1" x="209"/>
        <item m="1" x="200"/>
        <item m="1" x="204"/>
        <item m="1" x="230"/>
        <item m="1" x="173"/>
        <item m="1" x="228"/>
        <item m="1" x="210"/>
        <item m="1" x="217"/>
        <item m="1" x="180"/>
        <item m="1" x="187"/>
        <item m="1" x="212"/>
        <item m="1" x="67"/>
        <item x="29"/>
        <item m="1" x="221"/>
        <item m="1" x="106"/>
        <item m="1" x="175"/>
        <item m="1" x="222"/>
        <item m="1" x="236"/>
        <item m="1" x="166"/>
        <item m="1" x="99"/>
        <item x="5"/>
        <item m="1" x="143"/>
        <item m="1" x="86"/>
        <item m="1" x="85"/>
        <item m="1" x="156"/>
        <item m="1" x="196"/>
        <item m="1" x="226"/>
        <item m="1" x="109"/>
        <item m="1" x="78"/>
        <item t="default"/>
      </items>
      <autoSortScope>
        <pivotArea dataOnly="0" outline="0" fieldPosition="0">
          <references count="1">
            <reference field="4294967294" count="1" selected="0">
              <x v="0"/>
            </reference>
          </references>
        </pivotArea>
      </autoSortScope>
    </pivotField>
    <pivotField numFmtId="164" showAll="0"/>
    <pivotField showAll="0"/>
    <pivotField numFmtId="9" showAll="0"/>
    <pivotField dataField="1" numFmtId="164" showAll="0"/>
    <pivotField showAll="0"/>
    <pivotField numFmtId="14" showAll="0"/>
    <pivotField showAll="0"/>
  </pivotFields>
  <rowFields count="1">
    <field x="2"/>
  </rowFields>
  <rowItems count="57">
    <i>
      <x v="190"/>
    </i>
    <i>
      <x v="154"/>
    </i>
    <i>
      <x v="167"/>
    </i>
    <i>
      <x v="93"/>
    </i>
    <i>
      <x v="158"/>
    </i>
    <i>
      <x v="38"/>
    </i>
    <i>
      <x v="70"/>
    </i>
    <i>
      <x v="52"/>
    </i>
    <i>
      <x v="60"/>
    </i>
    <i>
      <x v="37"/>
    </i>
    <i>
      <x v="1"/>
    </i>
    <i>
      <x v="6"/>
    </i>
    <i>
      <x v="123"/>
    </i>
    <i>
      <x v="72"/>
    </i>
    <i>
      <x v="134"/>
    </i>
    <i>
      <x v="138"/>
    </i>
    <i>
      <x v="230"/>
    </i>
    <i>
      <x v="18"/>
    </i>
    <i>
      <x v="108"/>
    </i>
    <i>
      <x v="29"/>
    </i>
    <i>
      <x v="150"/>
    </i>
    <i>
      <x v="191"/>
    </i>
    <i>
      <x v="195"/>
    </i>
    <i>
      <x v="64"/>
    </i>
    <i>
      <x v="162"/>
    </i>
    <i>
      <x v="34"/>
    </i>
    <i>
      <x v="193"/>
    </i>
    <i>
      <x v="155"/>
    </i>
    <i>
      <x v="96"/>
    </i>
    <i>
      <x v="30"/>
    </i>
    <i>
      <x v="80"/>
    </i>
    <i>
      <x v="117"/>
    </i>
    <i>
      <x v="143"/>
    </i>
    <i>
      <x v="59"/>
    </i>
    <i>
      <x v="136"/>
    </i>
    <i>
      <x v="68"/>
    </i>
    <i>
      <x v="48"/>
    </i>
    <i>
      <x v="21"/>
    </i>
    <i>
      <x v="163"/>
    </i>
    <i>
      <x v="200"/>
    </i>
    <i>
      <x v="77"/>
    </i>
    <i>
      <x v="157"/>
    </i>
    <i>
      <x v="94"/>
    </i>
    <i>
      <x v="46"/>
    </i>
    <i>
      <x v="222"/>
    </i>
    <i>
      <x v="49"/>
    </i>
    <i>
      <x v="129"/>
    </i>
    <i>
      <x v="74"/>
    </i>
    <i>
      <x v="110"/>
    </i>
    <i>
      <x v="91"/>
    </i>
    <i>
      <x v="204"/>
    </i>
    <i>
      <x v="79"/>
    </i>
    <i>
      <x v="148"/>
    </i>
    <i>
      <x v="13"/>
    </i>
    <i>
      <x v="176"/>
    </i>
    <i>
      <x v="124"/>
    </i>
    <i t="grand">
      <x/>
    </i>
  </rowItems>
  <colItems count="1">
    <i/>
  </colItems>
  <dataFields count="1">
    <dataField name="Sum of WEIGHTED FORECAST" fld="6" baseField="0" baseItem="0" numFmtId="164"/>
  </dataFields>
  <formats count="2">
    <format dxfId="47">
      <pivotArea outline="0" collapsedLevelsAreSubtotals="1" fieldPosition="0"/>
    </format>
    <format dxfId="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806F4C-08D8-4092-A159-8B6921E200D1}"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F2:AG152" firstHeaderRow="1" firstDataRow="1" firstDataCol="1"/>
  <pivotFields count="12">
    <pivotField showAll="0"/>
    <pivotField showAll="0"/>
    <pivotField axis="axisRow" showAll="0" sortType="descending">
      <items count="151">
        <item x="21"/>
        <item x="98"/>
        <item x="0"/>
        <item x="75"/>
        <item x="97"/>
        <item x="4"/>
        <item x="66"/>
        <item x="1"/>
        <item x="25"/>
        <item x="63"/>
        <item x="54"/>
        <item x="81"/>
        <item x="93"/>
        <item x="50"/>
        <item x="76"/>
        <item x="9"/>
        <item x="64"/>
        <item x="65"/>
        <item x="3"/>
        <item x="73"/>
        <item x="82"/>
        <item x="68"/>
        <item x="49"/>
        <item x="20"/>
        <item x="85"/>
        <item x="35"/>
        <item x="57"/>
        <item x="83"/>
        <item x="110"/>
        <item x="23"/>
        <item x="42"/>
        <item x="59"/>
        <item x="105"/>
        <item x="79"/>
        <item x="47"/>
        <item x="67"/>
        <item x="77"/>
        <item x="2"/>
        <item x="48"/>
        <item x="111"/>
        <item x="106"/>
        <item x="46"/>
        <item x="32"/>
        <item x="8"/>
        <item x="40"/>
        <item m="1" x="149"/>
        <item x="31"/>
        <item x="89"/>
        <item x="30"/>
        <item x="102"/>
        <item x="5"/>
        <item x="116"/>
        <item x="80"/>
        <item x="10"/>
        <item x="19"/>
        <item x="11"/>
        <item x="69"/>
        <item x="52"/>
        <item x="114"/>
        <item x="99"/>
        <item x="61"/>
        <item x="17"/>
        <item x="16"/>
        <item x="100"/>
        <item x="60"/>
        <item x="58"/>
        <item x="45"/>
        <item x="88"/>
        <item x="15"/>
        <item x="113"/>
        <item x="39"/>
        <item x="91"/>
        <item x="28"/>
        <item x="112"/>
        <item x="33"/>
        <item x="72"/>
        <item x="7"/>
        <item x="107"/>
        <item x="56"/>
        <item x="22"/>
        <item x="62"/>
        <item x="53"/>
        <item x="43"/>
        <item x="86"/>
        <item x="29"/>
        <item x="96"/>
        <item x="36"/>
        <item x="104"/>
        <item x="109"/>
        <item x="92"/>
        <item x="78"/>
        <item x="41"/>
        <item x="12"/>
        <item x="74"/>
        <item x="38"/>
        <item x="51"/>
        <item x="90"/>
        <item x="95"/>
        <item x="70"/>
        <item x="44"/>
        <item x="55"/>
        <item x="26"/>
        <item x="87"/>
        <item x="24"/>
        <item x="18"/>
        <item x="101"/>
        <item x="108"/>
        <item x="115"/>
        <item x="34"/>
        <item x="103"/>
        <item x="94"/>
        <item x="27"/>
        <item x="71"/>
        <item x="14"/>
        <item x="13"/>
        <item x="84"/>
        <item x="37"/>
        <item x="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t="default"/>
      </items>
      <autoSortScope>
        <pivotArea dataOnly="0" outline="0" fieldPosition="0">
          <references count="1">
            <reference field="4294967294" count="1" selected="0">
              <x v="0"/>
            </reference>
          </references>
        </pivotArea>
      </autoSortScope>
    </pivotField>
    <pivotField dataField="1" numFmtId="164" showAll="0"/>
    <pivotField showAll="0"/>
    <pivotField showAll="0"/>
    <pivotField showAll="0"/>
    <pivotField showAll="0"/>
    <pivotField numFmtId="14" showAll="0"/>
    <pivotField showAll="0"/>
    <pivotField numFmtId="164" showAll="0"/>
    <pivotField showAll="0"/>
  </pivotFields>
  <rowFields count="1">
    <field x="2"/>
  </rowFields>
  <rowItems count="150">
    <i>
      <x v="46"/>
    </i>
    <i>
      <x v="91"/>
    </i>
    <i>
      <x v="53"/>
    </i>
    <i>
      <x v="21"/>
    </i>
    <i>
      <x v="36"/>
    </i>
    <i>
      <x v="16"/>
    </i>
    <i>
      <x v="67"/>
    </i>
    <i>
      <x v="73"/>
    </i>
    <i>
      <x v="107"/>
    </i>
    <i>
      <x v="40"/>
    </i>
    <i>
      <x v="65"/>
    </i>
    <i>
      <x v="105"/>
    </i>
    <i>
      <x v="103"/>
    </i>
    <i>
      <x v="79"/>
    </i>
    <i>
      <x v="17"/>
    </i>
    <i>
      <x v="7"/>
    </i>
    <i>
      <x v="94"/>
    </i>
    <i>
      <x v="104"/>
    </i>
    <i>
      <x v="112"/>
    </i>
    <i>
      <x v="55"/>
    </i>
    <i>
      <x v="31"/>
    </i>
    <i>
      <x v="57"/>
    </i>
    <i>
      <x v="76"/>
    </i>
    <i>
      <x v="47"/>
    </i>
    <i>
      <x v="117"/>
    </i>
    <i>
      <x v="2"/>
    </i>
    <i>
      <x v="129"/>
    </i>
    <i>
      <x v="52"/>
    </i>
    <i>
      <x v="83"/>
    </i>
    <i>
      <x v="85"/>
    </i>
    <i>
      <x v="39"/>
    </i>
    <i>
      <x v="127"/>
    </i>
    <i>
      <x v="30"/>
    </i>
    <i>
      <x v="20"/>
    </i>
    <i>
      <x v="119"/>
    </i>
    <i>
      <x v="124"/>
    </i>
    <i>
      <x v="3"/>
    </i>
    <i>
      <x v="24"/>
    </i>
    <i>
      <x v="37"/>
    </i>
    <i>
      <x v="34"/>
    </i>
    <i>
      <x v="32"/>
    </i>
    <i>
      <x v="121"/>
    </i>
    <i>
      <x v="51"/>
    </i>
    <i>
      <x v="61"/>
    </i>
    <i>
      <x v="95"/>
    </i>
    <i>
      <x v="18"/>
    </i>
    <i>
      <x v="102"/>
    </i>
    <i>
      <x v="118"/>
    </i>
    <i>
      <x v="149"/>
    </i>
    <i>
      <x v="86"/>
    </i>
    <i>
      <x v="123"/>
    </i>
    <i>
      <x v="146"/>
    </i>
    <i>
      <x v="15"/>
    </i>
    <i>
      <x v="120"/>
    </i>
    <i>
      <x v="6"/>
    </i>
    <i>
      <x v="10"/>
    </i>
    <i>
      <x v="48"/>
    </i>
    <i>
      <x v="43"/>
    </i>
    <i>
      <x v="78"/>
    </i>
    <i>
      <x v="92"/>
    </i>
    <i>
      <x v="116"/>
    </i>
    <i>
      <x v="26"/>
    </i>
    <i>
      <x v="56"/>
    </i>
    <i>
      <x v="98"/>
    </i>
    <i>
      <x v="23"/>
    </i>
    <i>
      <x v="90"/>
    </i>
    <i>
      <x v="130"/>
    </i>
    <i>
      <x v="136"/>
    </i>
    <i>
      <x v="137"/>
    </i>
    <i>
      <x v="142"/>
    </i>
    <i>
      <x v="62"/>
    </i>
    <i>
      <x v="109"/>
    </i>
    <i>
      <x v="128"/>
    </i>
    <i>
      <x v="81"/>
    </i>
    <i>
      <x v="50"/>
    </i>
    <i>
      <x v="29"/>
    </i>
    <i>
      <x v="80"/>
    </i>
    <i>
      <x v="22"/>
    </i>
    <i>
      <x v="69"/>
    </i>
    <i>
      <x v="11"/>
    </i>
    <i>
      <x v="71"/>
    </i>
    <i>
      <x v="27"/>
    </i>
    <i>
      <x v="12"/>
    </i>
    <i>
      <x v="122"/>
    </i>
    <i>
      <x v="110"/>
    </i>
    <i>
      <x v="97"/>
    </i>
    <i>
      <x v="115"/>
    </i>
    <i>
      <x v="74"/>
    </i>
    <i>
      <x v="5"/>
    </i>
    <i>
      <x v="135"/>
    </i>
    <i>
      <x v="139"/>
    </i>
    <i>
      <x v="133"/>
    </i>
    <i>
      <x v="100"/>
    </i>
    <i>
      <x v="35"/>
    </i>
    <i>
      <x v="143"/>
    </i>
    <i>
      <x v="25"/>
    </i>
    <i>
      <x v="28"/>
    </i>
    <i>
      <x v="38"/>
    </i>
    <i>
      <x v="60"/>
    </i>
    <i>
      <x v="59"/>
    </i>
    <i>
      <x v="54"/>
    </i>
    <i>
      <x v="96"/>
    </i>
    <i>
      <x v="14"/>
    </i>
    <i>
      <x v="49"/>
    </i>
    <i>
      <x v="33"/>
    </i>
    <i>
      <x v="89"/>
    </i>
    <i>
      <x v="82"/>
    </i>
    <i>
      <x v="106"/>
    </i>
    <i>
      <x v="148"/>
    </i>
    <i>
      <x v="58"/>
    </i>
    <i>
      <x v="13"/>
    </i>
    <i>
      <x v="88"/>
    </i>
    <i>
      <x v="87"/>
    </i>
    <i>
      <x v="140"/>
    </i>
    <i>
      <x v="84"/>
    </i>
    <i>
      <x v="99"/>
    </i>
    <i>
      <x v="44"/>
    </i>
    <i>
      <x v="1"/>
    </i>
    <i>
      <x v="126"/>
    </i>
    <i>
      <x v="113"/>
    </i>
    <i>
      <x v="9"/>
    </i>
    <i>
      <x v="125"/>
    </i>
    <i>
      <x v="141"/>
    </i>
    <i>
      <x v="134"/>
    </i>
    <i>
      <x v="101"/>
    </i>
    <i>
      <x v="68"/>
    </i>
    <i>
      <x v="41"/>
    </i>
    <i>
      <x v="64"/>
    </i>
    <i>
      <x v="75"/>
    </i>
    <i>
      <x v="93"/>
    </i>
    <i>
      <x v="63"/>
    </i>
    <i>
      <x v="131"/>
    </i>
    <i>
      <x v="72"/>
    </i>
    <i>
      <x v="132"/>
    </i>
    <i>
      <x v="77"/>
    </i>
    <i>
      <x v="144"/>
    </i>
    <i>
      <x v="138"/>
    </i>
    <i>
      <x v="114"/>
    </i>
    <i>
      <x v="42"/>
    </i>
    <i>
      <x v="19"/>
    </i>
    <i>
      <x v="70"/>
    </i>
    <i>
      <x v="147"/>
    </i>
    <i>
      <x v="145"/>
    </i>
    <i>
      <x v="4"/>
    </i>
    <i>
      <x v="108"/>
    </i>
    <i>
      <x v="8"/>
    </i>
    <i>
      <x v="111"/>
    </i>
    <i>
      <x/>
    </i>
    <i>
      <x v="66"/>
    </i>
    <i t="grand">
      <x/>
    </i>
  </rowItems>
  <colItems count="1">
    <i/>
  </colItems>
  <dataFields count="1">
    <dataField name="Sum of DEAL SIZE" fld="3" baseField="0" baseItem="0" numFmtId="164"/>
  </dataFields>
  <formats count="2">
    <format dxfId="49">
      <pivotArea outline="0" collapsedLevelsAreSubtotals="1" fieldPosition="0"/>
    </format>
    <format dxfId="4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76A0DE-EE4A-4A68-961F-D562D44EF5B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30:J34" firstHeaderRow="0" firstDataRow="1" firstDataCol="1"/>
  <pivotFields count="10">
    <pivotField showAll="0"/>
    <pivotField showAll="0">
      <items count="13">
        <item m="1" x="4"/>
        <item m="1" x="5"/>
        <item m="1" x="6"/>
        <item m="1" x="7"/>
        <item m="1" x="8"/>
        <item m="1" x="9"/>
        <item m="1" x="10"/>
        <item m="1" x="11"/>
        <item m="1" x="3"/>
        <item x="0"/>
        <item x="1"/>
        <item x="2"/>
        <item t="default"/>
      </items>
    </pivotField>
    <pivotField showAll="0"/>
    <pivotField numFmtId="164" showAll="0"/>
    <pivotField axis="axisRow" showAll="0">
      <items count="6">
        <item x="1"/>
        <item m="1" x="4"/>
        <item x="0"/>
        <item x="2"/>
        <item m="1" x="3"/>
        <item t="default"/>
      </items>
    </pivotField>
    <pivotField numFmtId="9" showAll="0"/>
    <pivotField dataField="1" numFmtId="164" showAll="0"/>
    <pivotField showAll="0">
      <items count="4">
        <item x="2"/>
        <item x="1"/>
        <item x="0"/>
        <item t="default"/>
      </items>
    </pivotField>
    <pivotField numFmtId="14" showAll="0"/>
    <pivotField showAll="0"/>
  </pivotFields>
  <rowFields count="1">
    <field x="4"/>
  </rowFields>
  <rowItems count="4">
    <i>
      <x/>
    </i>
    <i>
      <x v="2"/>
    </i>
    <i>
      <x v="3"/>
    </i>
    <i t="grand">
      <x/>
    </i>
  </rowItems>
  <colFields count="1">
    <field x="-2"/>
  </colFields>
  <colItems count="2">
    <i>
      <x/>
    </i>
    <i i="1">
      <x v="1"/>
    </i>
  </colItems>
  <dataFields count="2">
    <dataField name="Sum of WEIGHTED FORECAST" fld="6" baseField="0" baseItem="0" numFmtId="164"/>
    <dataField name="Count of WEIGHTED FORECAST2" fld="6" subtotal="count" baseField="4" baseItem="0"/>
  </dataFields>
  <formats count="1">
    <format dxfId="50">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673438-10A4-4742-BF5C-BA85FC9117F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H21:I25" firstHeaderRow="1" firstDataRow="1" firstDataCol="1"/>
  <pivotFields count="10">
    <pivotField showAll="0"/>
    <pivotField showAll="0">
      <items count="13">
        <item m="1" x="4"/>
        <item m="1" x="5"/>
        <item m="1" x="6"/>
        <item m="1" x="7"/>
        <item m="1" x="8"/>
        <item m="1" x="9"/>
        <item m="1" x="10"/>
        <item m="1" x="11"/>
        <item m="1" x="3"/>
        <item x="0"/>
        <item x="1"/>
        <item x="2"/>
        <item t="default"/>
      </items>
    </pivotField>
    <pivotField showAll="0"/>
    <pivotField numFmtId="164" showAll="0"/>
    <pivotField showAll="0"/>
    <pivotField numFmtId="9" showAll="0"/>
    <pivotField dataField="1" numFmtId="164" showAll="0"/>
    <pivotField axis="axisRow" showAll="0">
      <items count="4">
        <item x="2"/>
        <item x="1"/>
        <item x="0"/>
        <item t="default"/>
      </items>
    </pivotField>
    <pivotField numFmtId="14" showAll="0"/>
    <pivotField showAll="0"/>
  </pivotFields>
  <rowFields count="1">
    <field x="7"/>
  </rowFields>
  <rowItems count="4">
    <i>
      <x/>
    </i>
    <i>
      <x v="1"/>
    </i>
    <i>
      <x v="2"/>
    </i>
    <i t="grand">
      <x/>
    </i>
  </rowItems>
  <colItems count="1">
    <i/>
  </colItems>
  <dataFields count="1">
    <dataField name="Sum of WEIGHTED FORECAST" fld="6" baseField="7" baseItem="0" numFmtId="164"/>
  </dataFields>
  <formats count="1">
    <format dxfId="51">
      <pivotArea outline="0" collapsedLevelsAreSubtotals="1" fieldPosition="0"/>
    </format>
  </formats>
  <chartFormats count="4">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7" count="1" selected="0">
            <x v="0"/>
          </reference>
        </references>
      </pivotArea>
    </chartFormat>
    <chartFormat chart="4" format="7">
      <pivotArea type="data" outline="0" fieldPosition="0">
        <references count="2">
          <reference field="4294967294" count="1" selected="0">
            <x v="0"/>
          </reference>
          <reference field="7" count="1" selected="0">
            <x v="1"/>
          </reference>
        </references>
      </pivotArea>
    </chartFormat>
    <chartFormat chart="4"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A7E73B-7313-40E4-85A5-6F0BFF40939D}"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showHeaders="0" outline="1" outlineData="1" multipleFieldFilters="0">
  <location ref="A20:A22" firstHeaderRow="0" firstDataRow="0" firstDataCol="1"/>
  <pivotFields count="10">
    <pivotField showAll="0"/>
    <pivotField showAll="0"/>
    <pivotField showAll="0"/>
    <pivotField numFmtId="164" showAll="0"/>
    <pivotField showAll="0"/>
    <pivotField numFmtId="9" showAll="0"/>
    <pivotField numFmtId="164" showAll="0"/>
    <pivotField axis="axisRow" showAll="0">
      <items count="4">
        <item x="2"/>
        <item x="1"/>
        <item x="0"/>
        <item t="default"/>
      </items>
    </pivotField>
    <pivotField numFmtId="14" showAll="0"/>
    <pivotField showAll="0"/>
  </pivotFields>
  <rowFields count="1">
    <field x="7"/>
  </rowFields>
  <rowItems count="3">
    <i>
      <x/>
    </i>
    <i>
      <x v="1"/>
    </i>
    <i>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DF3C8C-03A2-46F9-84FB-D2D646C5FE89}"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showHeaders="0" outline="1" outlineData="1" multipleFieldFilters="0">
  <location ref="V20:V22" firstHeaderRow="0" firstDataRow="0" firstDataCol="1"/>
  <pivotFields count="10">
    <pivotField showAll="0"/>
    <pivotField axis="axisRow" showAll="0">
      <items count="13">
        <item m="1" x="4"/>
        <item m="1" x="5"/>
        <item m="1" x="6"/>
        <item m="1" x="7"/>
        <item m="1" x="8"/>
        <item m="1" x="9"/>
        <item m="1" x="10"/>
        <item m="1" x="11"/>
        <item m="1" x="3"/>
        <item x="0"/>
        <item x="1"/>
        <item x="2"/>
        <item t="default"/>
      </items>
    </pivotField>
    <pivotField showAll="0"/>
    <pivotField numFmtId="164" showAll="0"/>
    <pivotField showAll="0"/>
    <pivotField numFmtId="9" showAll="0"/>
    <pivotField numFmtId="164" showAll="0"/>
    <pivotField showAll="0">
      <items count="4">
        <item x="2"/>
        <item x="1"/>
        <item x="0"/>
        <item t="default"/>
      </items>
    </pivotField>
    <pivotField numFmtId="14" showAll="0"/>
    <pivotField showAll="0"/>
  </pivotFields>
  <rowFields count="1">
    <field x="1"/>
  </rowFields>
  <rowItems count="3">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76C8DD-4C24-4B00-976E-1CF9118D99EF}"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21:S32" firstHeaderRow="1" firstDataRow="1" firstDataCol="1"/>
  <pivotFields count="12">
    <pivotField showAll="0"/>
    <pivotField axis="axisRow" showAll="0">
      <items count="12">
        <item x="0"/>
        <item x="1"/>
        <item x="3"/>
        <item x="4"/>
        <item x="5"/>
        <item x="6"/>
        <item x="2"/>
        <item x="7"/>
        <item x="8"/>
        <item x="9"/>
        <item x="10"/>
        <item t="default"/>
      </items>
    </pivotField>
    <pivotField showAll="0"/>
    <pivotField dataField="1" numFmtId="164" showAll="0"/>
    <pivotField showAll="0"/>
    <pivotField showAll="0"/>
    <pivotField showAll="0"/>
    <pivotField showAll="0">
      <items count="4">
        <item h="1" x="1"/>
        <item h="1" x="2"/>
        <item x="0"/>
        <item t="default"/>
      </items>
    </pivotField>
    <pivotField numFmtId="14" showAll="0"/>
    <pivotField showAll="0"/>
    <pivotField numFmtId="164" showAll="0"/>
    <pivotField showAll="0"/>
  </pivotFields>
  <rowFields count="1">
    <field x="1"/>
  </rowFields>
  <rowItems count="11">
    <i>
      <x/>
    </i>
    <i>
      <x v="1"/>
    </i>
    <i>
      <x v="2"/>
    </i>
    <i>
      <x v="3"/>
    </i>
    <i>
      <x v="4"/>
    </i>
    <i>
      <x v="5"/>
    </i>
    <i>
      <x v="7"/>
    </i>
    <i>
      <x v="8"/>
    </i>
    <i>
      <x v="9"/>
    </i>
    <i>
      <x v="10"/>
    </i>
    <i t="grand">
      <x/>
    </i>
  </rowItems>
  <colItems count="1">
    <i/>
  </colItems>
  <dataFields count="1">
    <dataField name="Sum of DEAL SIZE" fld="3" baseField="0" baseItem="0" numFmtId="164"/>
  </dataFields>
  <formats count="1">
    <format dxfId="52">
      <pivotArea outline="0" collapsedLevelsAreSubtotals="1" fieldPosition="0"/>
    </format>
  </formats>
  <chartFormats count="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 count="1" selected="0">
            <x v="5"/>
          </reference>
        </references>
      </pivotArea>
    </chartFormat>
    <chartFormat chart="2" format="4">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766737C-4BFB-4740-9BA5-8671207E67EA}"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O21:P25" firstHeaderRow="1" firstDataRow="1" firstDataCol="1"/>
  <pivotFields count="10">
    <pivotField showAll="0"/>
    <pivotField axis="axisRow" showAll="0">
      <items count="13">
        <item m="1" x="4"/>
        <item m="1" x="5"/>
        <item m="1" x="6"/>
        <item m="1" x="7"/>
        <item m="1" x="8"/>
        <item m="1" x="9"/>
        <item m="1" x="10"/>
        <item m="1" x="11"/>
        <item m="1" x="3"/>
        <item x="0"/>
        <item x="1"/>
        <item x="2"/>
        <item t="default"/>
      </items>
    </pivotField>
    <pivotField showAll="0"/>
    <pivotField numFmtId="164" showAll="0"/>
    <pivotField showAll="0"/>
    <pivotField numFmtId="9" showAll="0"/>
    <pivotField dataField="1" numFmtId="164" showAll="0"/>
    <pivotField showAll="0">
      <items count="4">
        <item x="2"/>
        <item x="1"/>
        <item x="0"/>
        <item t="default"/>
      </items>
    </pivotField>
    <pivotField numFmtId="14" showAll="0"/>
    <pivotField showAll="0"/>
  </pivotFields>
  <rowFields count="1">
    <field x="1"/>
  </rowFields>
  <rowItems count="4">
    <i>
      <x v="9"/>
    </i>
    <i>
      <x v="10"/>
    </i>
    <i>
      <x v="11"/>
    </i>
    <i t="grand">
      <x/>
    </i>
  </rowItems>
  <colItems count="1">
    <i/>
  </colItems>
  <dataFields count="1">
    <dataField name="Sum of WEIGHTED FORECAST" fld="6" baseField="0" baseItem="0" numFmtId="164"/>
  </dataFields>
  <formats count="1">
    <format dxfId="53">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 xr10:uid="{1297A034-A54C-4765-A717-98BE62FC7486}" sourceName="MONTH">
  <pivotTables>
    <pivotTable tabId="2" name="PivotTable2"/>
    <pivotTable tabId="2" name="PivotTable3"/>
    <pivotTable tabId="2" name="PivotTable4"/>
    <pivotTable tabId="2" name="PivotTable6"/>
  </pivotTables>
  <data>
    <tabular pivotCacheId="1583046338">
      <items count="12">
        <i x="0" s="1"/>
        <i x="1" s="1"/>
        <i x="2" s="1"/>
        <i x="4" s="1" nd="1"/>
        <i x="5" s="1" nd="1"/>
        <i x="6" s="1" nd="1"/>
        <i x="7" s="1" nd="1"/>
        <i x="8" s="1" nd="1"/>
        <i x="9" s="1" nd="1"/>
        <i x="10" s="1" nd="1"/>
        <i x="11"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3" xr10:uid="{F8FE9203-621D-40AD-AD73-B8A74883D19A}" sourceName="SALES CHANNEL">
  <pivotTables>
    <pivotTable tabId="2" name="PivotTable2"/>
    <pivotTable tabId="2" name="PivotTable3"/>
    <pivotTable tabId="2" name="PivotTable4"/>
    <pivotTable tabId="2" name="PivotTable6"/>
  </pivotTables>
  <data>
    <tabular pivotCacheId="1583046338">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4" xr10:uid="{0FE8A9F7-DE92-4F44-A39C-15AB1C2A3CFF}" sourceName="SALES CHANNEL">
  <pivotTables>
    <pivotTable tabId="2" name="PivotTable5"/>
  </pivotTables>
  <data>
    <tabular pivotCacheId="1471571670">
      <items count="3">
        <i x="1"/>
        <i x="2"/>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D9C336D-305C-4039-9498-C1E10F2882BA}" sourceName="MONTH">
  <extLst>
    <x:ext xmlns:x15="http://schemas.microsoft.com/office/spreadsheetml/2010/11/main" uri="{2F2917AC-EB37-4324-AD4E-5DD8C200BD13}">
      <x15:tableSlicerCache tableId="1"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3FE8C8EA-3EE5-498F-B514-B80B9E7833C9}" sourceName="STAGE">
  <extLst>
    <x:ext xmlns:x15="http://schemas.microsoft.com/office/spreadsheetml/2010/11/main" uri="{2F2917AC-EB37-4324-AD4E-5DD8C200BD13}">
      <x15:tableSlicerCache tableId="1"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94615B3A-2F0B-4952-A1A1-F8EE132479FE}" sourceName="SALES CHANNEL">
  <extLst>
    <x:ext xmlns:x15="http://schemas.microsoft.com/office/spreadsheetml/2010/11/main" uri="{2F2917AC-EB37-4324-AD4E-5DD8C200BD13}">
      <x15:tableSlicerCache tableId="1"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F327C983-EEAA-4B2F-84DD-0B7E22416EC0}" sourceName="MONTH">
  <extLst>
    <x:ext xmlns:x15="http://schemas.microsoft.com/office/spreadsheetml/2010/11/main" uri="{2F2917AC-EB37-4324-AD4E-5DD8C200BD13}">
      <x15:tableSlicerCache tableId="2"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1" xr10:uid="{FF363412-DBB9-4606-9400-0F376244784A}" sourceName="SALES CHANNEL">
  <extLst>
    <x:ext xmlns:x15="http://schemas.microsoft.com/office/spreadsheetml/2010/11/main" uri="{2F2917AC-EB37-4324-AD4E-5DD8C200BD13}">
      <x15:tableSlicerCache tableId="2"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DE01F7C1-2C66-4FE3-A798-46EB45146ECC}" sourceName="STATUS">
  <extLst>
    <x:ext xmlns:x15="http://schemas.microsoft.com/office/spreadsheetml/2010/11/main" uri="{2F2917AC-EB37-4324-AD4E-5DD8C200BD13}">
      <x15:tableSlicerCache tableId="2" column="1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 xr10:uid="{33DBAA7F-29AE-484A-96A6-24153A6D1710}" sourceName="MONTH">
  <extLst>
    <x:ext xmlns:x15="http://schemas.microsoft.com/office/spreadsheetml/2010/11/main" uri="{2F2917AC-EB37-4324-AD4E-5DD8C200BD13}">
      <x15:tableSlicerCache tableId="3"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2" xr10:uid="{BE873184-C669-44D8-A3A9-83C5038DB021}" sourceName="SALES CHANNEL">
  <extLst>
    <x:ext xmlns:x15="http://schemas.microsoft.com/office/spreadsheetml/2010/11/main" uri="{2F2917AC-EB37-4324-AD4E-5DD8C200BD13}">
      <x15:tableSlicerCache tableId="3"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 xr10:uid="{7F8D54EC-69B6-4B69-B654-95B7F6BC676D}" sourceName="MONTH">
  <extLst>
    <x:ext xmlns:x15="http://schemas.microsoft.com/office/spreadsheetml/2010/11/main" uri="{2F2917AC-EB37-4324-AD4E-5DD8C200BD13}">
      <x15:tableSlicerCache tableId="5"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3" xr10:uid="{717ECCFD-9CEC-4CD7-A2A8-2A2CBD0659DB}" cache="Slicer_MONTH3" caption="MONTH" columnCount="12" style="A" rowHeight="234950"/>
  <slicer name="SALES CHANNEL 3" xr10:uid="{352FF5BC-2667-4180-893B-2B36A0533212}" cache="Slicer_SALES_CHANNEL3" caption="SALES CHANNEL" columnCount="3" style="A" rowHeight="234950"/>
  <slicer name="SALES CHANNEL 4" xr10:uid="{385BDC14-FB5E-4277-842A-85BBED93E75B}" cache="Slicer_SALES_CHANNEL4" caption="SALES TRENDLINE" columnCount="3" style="A"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5" xr10:uid="{AA1C9E9F-727D-4C00-ADDF-65166B904255}" cache="Slicer_MONTH4" caption="TARGET % BY CHANNEL" columnCount="6" style="A" rowHeight="18288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01419B5-A06F-464F-AE6B-B14C35F18433}" cache="Slicer_MONTH" caption="MONTH" columnCount="3" style="A" rowHeight="234950"/>
  <slicer name="STAGE" xr10:uid="{434AE5A8-FBAB-4CAE-9D78-892985356CFE}" cache="Slicer_STAGE" caption="STAGE" columnCount="5" style="A" rowHeight="234950"/>
  <slicer name="SALES CHANNEL" xr10:uid="{0B7B78F9-BE7F-44B6-A383-B80317DDB697}" cache="Slicer_SALES_CHANNEL" caption="SALES CHANNEL" columnCount="3" style="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AB92DC1-36C2-4084-AEE4-643F4E91465D}" cache="Slicer_MONTH1" caption="MONTH" columnCount="3" style="A" rowHeight="182880"/>
  <slicer name="SALES CHANNEL 1" xr10:uid="{A2B001C2-7476-44FB-B048-2A4C847B06CB}" cache="Slicer_SALES_CHANNEL1" caption="SALES CHANNEL" columnCount="3" style="A" rowHeight="182880"/>
  <slicer name="PAID STATUS" xr10:uid="{AD960ABC-7BD6-44B9-B6B6-1AA0564E8F27}" cache="Slicer_STATUS" caption="PAID STATUS" columnCount="3" style="A" rowHeight="18288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2" xr10:uid="{B4F0100E-B220-4C46-8DBD-7C7A94929D99}" cache="Slicer_MONTH2" caption="MONTH" columnCount="5" style="A" rowHeight="234950"/>
  <slicer name="SALES CHANNEL 2" xr10:uid="{B2EE7D09-0397-4D79-9CC0-5B0F22338AC8}" cache="Slicer_SALES_CHANNEL2" caption="SALES CHANNEL" style="A"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91D395A-50F6-40C3-BE86-EBD0504B1D03}" name="TARGET_TOTAL" displayName="TARGET_TOTAL" ref="A2:E15" totalsRowCount="1" totalsRowDxfId="45">
  <autoFilter ref="A2:E14" xr:uid="{C91D395A-50F6-40C3-BE86-EBD0504B1D03}">
    <filterColumn colId="0" hiddenButton="1"/>
    <filterColumn colId="1" hiddenButton="1"/>
    <filterColumn colId="2" hiddenButton="1"/>
    <filterColumn colId="3" hiddenButton="1"/>
    <filterColumn colId="4" hiddenButton="1"/>
  </autoFilter>
  <tableColumns count="5">
    <tableColumn id="1" xr3:uid="{5C03FD05-8B38-4DC5-8823-94B046111F35}" name="MONTH" totalsRowLabel="Total" totalsRowDxfId="44"/>
    <tableColumn id="2" xr3:uid="{84E11962-AD35-4198-9AC0-B485BCABC7BC}" name="TARGET" totalsRowFunction="sum" dataDxfId="43" totalsRowDxfId="42">
      <calculatedColumnFormula array="1">_xlfn.IFS($B$21= "AD-HOCNEW BUSINESSRENEWAL",SUM(Dashboard!B12+Dashboard!B26+Dashboard!B40),$B$21="RENEWAL",Dashboard!B12,$B$21="AD-HOC",Dashboard!B40,$B$21="NEW BUSINESS",Dashboard!B26,$B$21= "AD-HOCNEW BUSINESS",SUM(Dashboard!B26+Dashboard!B40),$B$21= "AD-HOCRENEWAL",SUM(Dashboard!B12+Dashboard!B40),$B$21= "NEW BUSINESSRENEWAL",SUM(Dashboard!B12+Dashboard!B26))</calculatedColumnFormula>
    </tableColumn>
    <tableColumn id="3" xr3:uid="{6C65F90A-DD24-44CA-8F6D-C379C399294A}" name="SALES" totalsRowFunction="sum" dataDxfId="41" totalsRowDxfId="40">
      <calculatedColumnFormula>((SUMIFS(Won[[#All],[DEAL SIZE]],Won[[#All],[MONTH]],$A3,Won[[#All],[SALES CHANNEL]],$H$17)+(SUMIFS(Won[[#All],[DEAL SIZE]],Won[[#All],[MONTH]],$A3,Won[[#All],[SALES CHANNEL]],$O$17)+(SUMIFS(Won[[#All],[DEAL SIZE]],Won[[#All],[MONTH]],$A3,Won[[#All],[SALES CHANNEL]],$V$17)))))</calculatedColumnFormula>
    </tableColumn>
    <tableColumn id="4" xr3:uid="{A0F05A04-FF22-4FF0-AE73-3C31720F15CA}" name="QUOTA %" totalsRowFunction="sum" dataDxfId="39" totalsRowDxfId="38">
      <calculatedColumnFormula>IFERROR(TARGET_TOTAL[[#This Row],[SALES]]/TARGET_TOTAL[[#This Row],[TARGET]],"")</calculatedColumnFormula>
    </tableColumn>
    <tableColumn id="5" xr3:uid="{0CCE402C-4B3D-4842-964C-2324D8239D82}" name="REMAINING QUOTA $" totalsRowFunction="sum" dataDxfId="37" totalsRowDxfId="36">
      <calculatedColumnFormula>1-TARGET_TOTAL[[#This Row],[QUOTA %]]</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0BDBDBC-F3B2-4154-B8C6-F4405EE8B9CD}" name="TARGET_RENEWAL" displayName="TARGET_RENEWAL" ref="H2:L15" totalsRowCount="1">
  <autoFilter ref="H2:L14" xr:uid="{40BDBDBC-F3B2-4154-B8C6-F4405EE8B9CD}">
    <filterColumn colId="0" hiddenButton="1"/>
    <filterColumn colId="1" hiddenButton="1"/>
    <filterColumn colId="2" hiddenButton="1"/>
    <filterColumn colId="3" hiddenButton="1"/>
    <filterColumn colId="4" hiddenButton="1"/>
  </autoFilter>
  <tableColumns count="5">
    <tableColumn id="1" xr3:uid="{46111DAB-EDA6-40D5-ACFB-82D0A5329F26}" name="MONTH" totalsRowLabel="Total"/>
    <tableColumn id="2" xr3:uid="{235A6C29-1010-41BE-A896-DAECFE2F4CC1}" name="TARGET" totalsRowFunction="sum" dataDxfId="35">
      <calculatedColumnFormula>Dashboard!$B12</calculatedColumnFormula>
    </tableColumn>
    <tableColumn id="3" xr3:uid="{C00FF4C4-D330-41B8-AFC2-4CE2272B0A64}" name="SALES" totalsRowFunction="sum" dataDxfId="34">
      <calculatedColumnFormula>((SUMIFS(Won[[#All],[DEAL SIZE]],Won[[#All],[MONTH]],$H3,Won[[#All],[SALES CHANNEL]],$H$17)))</calculatedColumnFormula>
    </tableColumn>
    <tableColumn id="4" xr3:uid="{14BBAE8E-F391-4C60-BE12-84BEEC50B3BE}" name="QUOTA %" totalsRowDxfId="33" dataCellStyle="Percent">
      <calculatedColumnFormula>IFERROR(TARGET_RENEWAL[[#This Row],[SALES]]/TARGET_RENEWAL[[#This Row],[TARGET]],"")</calculatedColumnFormula>
    </tableColumn>
    <tableColumn id="5" xr3:uid="{57CCA108-485C-4DC0-A03C-A91755E166CF}" name="REMAINING QUOTA $" totalsRowDxfId="32"/>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1BB2DA-2D1B-4D53-8376-EFA96C22DCE1}" name="TARGET_NEWBUSINESS" displayName="TARGET_NEWBUSINESS" ref="O2:S15" totalsRowCount="1">
  <autoFilter ref="O2:S14" xr:uid="{F41BB2DA-2D1B-4D53-8376-EFA96C22DCE1}">
    <filterColumn colId="0" hiddenButton="1"/>
    <filterColumn colId="1" hiddenButton="1"/>
    <filterColumn colId="2" hiddenButton="1"/>
    <filterColumn colId="3" hiddenButton="1"/>
    <filterColumn colId="4" hiddenButton="1"/>
  </autoFilter>
  <tableColumns count="5">
    <tableColumn id="1" xr3:uid="{44EAEC33-4A46-4D1E-844C-F70710609387}" name="MONTH" totalsRowLabel="Total"/>
    <tableColumn id="2" xr3:uid="{ADA87A61-E522-4543-BF5B-7653BBD15603}" name="TARGET" totalsRowFunction="sum" dataDxfId="31">
      <calculatedColumnFormula>Dashboard!$B26</calculatedColumnFormula>
    </tableColumn>
    <tableColumn id="3" xr3:uid="{901ADB4C-28FF-46DF-9D8F-F7F01C39CDCE}" name="SALES" totalsRowFunction="sum" dataDxfId="30">
      <calculatedColumnFormula>((SUMIFS(Won[[#All],[DEAL SIZE]],Won[[#All],[MONTH]],$O3,Won[[#All],[SALES CHANNEL]],$O$17)))</calculatedColumnFormula>
    </tableColumn>
    <tableColumn id="4" xr3:uid="{BA5E6E29-83F0-452B-99EF-6E47BF6B9B53}" name="QUOTA %" totalsRowDxfId="29" dataCellStyle="Percent">
      <calculatedColumnFormula>IFERROR(TARGET_NEWBUSINESS[[#This Row],[SALES]]/TARGET_NEWBUSINESS[[#This Row],[TARGET]],"")</calculatedColumnFormula>
    </tableColumn>
    <tableColumn id="5" xr3:uid="{1ABB552B-5243-44E9-8DFC-412E7190625F}" name="REMAINING QUOTA $" dataDxfId="28" totalsRowDxfId="27" dataCellStyle="Percent">
      <calculatedColumnFormula>1-TARGET_NEWBUSINESS[[#This Row],[QUOTA %]]</calculatedColumnFormula>
    </tableColumn>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B78D7A1-C230-4A14-8FD7-95BF5790D380}" name="TARGET_ADHOC" displayName="TARGET_ADHOC" ref="V2:Z15" totalsRowCount="1">
  <autoFilter ref="V2:Z14" xr:uid="{0B78D7A1-C230-4A14-8FD7-95BF5790D380}">
    <filterColumn colId="0" hiddenButton="1"/>
    <filterColumn colId="1" hiddenButton="1"/>
    <filterColumn colId="2" hiddenButton="1"/>
    <filterColumn colId="3" hiddenButton="1"/>
    <filterColumn colId="4" hiddenButton="1"/>
  </autoFilter>
  <tableColumns count="5">
    <tableColumn id="1" xr3:uid="{008F4AF7-0E4B-4A3D-8D3D-B14BF72C87D8}" name="MONTH" totalsRowLabel="Total"/>
    <tableColumn id="2" xr3:uid="{9CC2B907-2AB3-4FA8-9C23-FAC3030C669B}" name="TARGET" totalsRowFunction="sum" dataDxfId="26">
      <calculatedColumnFormula>Dashboard!$B40</calculatedColumnFormula>
    </tableColumn>
    <tableColumn id="3" xr3:uid="{603E4045-E9BC-4C8D-8FBC-BE60FA6E3864}" name="SALES" totalsRowFunction="sum" dataDxfId="25">
      <calculatedColumnFormula>((SUMIFS(Won[[#All],[DEAL SIZE]],Won[[#All],[MONTH]],$V3,Won[[#All],[SALES CHANNEL]],$V$17)))</calculatedColumnFormula>
    </tableColumn>
    <tableColumn id="4" xr3:uid="{1BF7C1CC-D68E-4006-B375-588CE8C0A9EA}" name="QUOTA %" totalsRowDxfId="24" dataCellStyle="Percent">
      <calculatedColumnFormula>IFERROR(TARGET_ADHOC[[#This Row],[SALES]]/TARGET_ADHOC[[#This Row],[TARGET]],"")</calculatedColumnFormula>
    </tableColumn>
    <tableColumn id="5" xr3:uid="{3C87D5E0-293D-4729-8356-DDA7C1CC2015}" name="REMAINING QUOTA $" dataDxfId="23" totalsRowDxfId="22" dataCellStyle="Percent">
      <calculatedColumnFormula>1-TARGET_ADHOC[[#This Row],[QUOTA %]]</calculatedColumnFormula>
    </tableColumn>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D798AB-2CF6-45F2-BA37-823A4C8A631B}" name="Pipe" displayName="Pipe" ref="A3:J61" totalsRowShown="0" headerRowCellStyle="A">
  <autoFilter ref="A3:J61" xr:uid="{D2D798AB-2CF6-45F2-BA37-823A4C8A631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5078A1EB-3CA3-43EE-899D-B750D6B6359E}" name="SALES ASSOCIATE">
      <calculatedColumnFormula>IF($C4="","",Dashboard!$B$3)</calculatedColumnFormula>
    </tableColumn>
    <tableColumn id="2" xr3:uid="{760DA4D7-C3B8-4131-A325-1015A6D72DD4}" name="MONTH">
      <calculatedColumnFormula>IF($I4="","",UPPER(TEXT($I4,"mmmm")))</calculatedColumnFormula>
    </tableColumn>
    <tableColumn id="3" xr3:uid="{D9542F35-B460-4CDF-8E85-D25964B35D36}" name="ACCOUNT NAME"/>
    <tableColumn id="4" xr3:uid="{525DAEE3-6FFC-4FEF-8F97-15A0A3BDBC1D}" name="DEAL SIZE" dataDxfId="17"/>
    <tableColumn id="5" xr3:uid="{1F41D3A4-60CE-493E-886A-CA7E49C3F42E}" name="STAGE"/>
    <tableColumn id="6" xr3:uid="{478B0BA3-6DF7-4D45-85CC-E935607C4E43}" name="PROBABILITY" dataDxfId="16" dataCellStyle="Percent">
      <calculatedColumnFormula>IF($E4="","",IF($E4="IDENTIFIED",10%,IF($E4="QUALIFIED",40%,IF($E4="PROPOSAL",75%,100%))))</calculatedColumnFormula>
    </tableColumn>
    <tableColumn id="7" xr3:uid="{763A9C88-3C1E-434A-B000-5C27BD6D9374}" name="WEIGHTED FORECAST" dataDxfId="15">
      <calculatedColumnFormula>IF(F4="","",D4*F4)</calculatedColumnFormula>
    </tableColumn>
    <tableColumn id="8" xr3:uid="{920CE229-46D1-4E94-9044-959A8D88AA8A}" name="SALES CHANNEL"/>
    <tableColumn id="9" xr3:uid="{5942A5C8-5E1F-400C-9F42-38CC8035E710}" name="EXPECTED/CLOSE DATE" dataDxfId="14"/>
    <tableColumn id="10" xr3:uid="{BE3C341D-28E7-460A-9347-A2D206AAE14A}" name="NOTES" dataDxfId="13"/>
  </tableColumns>
  <tableStyleInfo name="TableStyleMedium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F9F4704-FA1B-4C9F-BBAD-D3A555CEF4F4}" name="Won" displayName="Won" ref="A3:L214" totalsRowShown="0">
  <autoFilter ref="A3:L214" xr:uid="{AF9F4704-FA1B-4C9F-BBAD-D3A555CEF4F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80CD789A-9849-480A-BE9C-DD0C13F82E2E}" name="SALES ASSOCIATE"/>
    <tableColumn id="2" xr3:uid="{E2DE0A96-64C3-4AA6-AFCF-4AEA8EFA05F7}" name="MONTH"/>
    <tableColumn id="3" xr3:uid="{D61203C4-98EE-4358-AAC4-1A7E40F17B22}" name="ACCOUNT NAME"/>
    <tableColumn id="4" xr3:uid="{A641AADE-B588-4FFE-8FAE-9A438CEC560A}" name="DEAL SIZE" dataDxfId="11"/>
    <tableColumn id="5" xr3:uid="{78F4A8CF-1F46-44AB-8328-E0F39421B2AA}" name="STAGE"/>
    <tableColumn id="6" xr3:uid="{55DFF286-ABAF-448E-B12C-1B2103E050C6}" name="PROBABILITY" dataDxfId="10" dataCellStyle="Percent"/>
    <tableColumn id="7" xr3:uid="{686D025E-F656-4C41-B4D2-40C4CE9BF975}" name="WEIGHTED FORECAST" dataDxfId="9"/>
    <tableColumn id="8" xr3:uid="{0DA57C3A-5DF6-4313-82E3-100E47FC81D9}" name="SALES CHANNEL"/>
    <tableColumn id="9" xr3:uid="{52D85DDA-C2D0-418C-BCE2-463C402B42FB}" name="EXPECTED/CLOSE DATE" dataDxfId="8"/>
    <tableColumn id="10" xr3:uid="{4EEC3CCF-061F-4775-BFD6-37DE065B20C5}" name="NOTES" dataDxfId="7"/>
    <tableColumn id="11" xr3:uid="{1DF34C3E-5857-4AAE-BE1A-06C143A59FB3}" name="COMMISSION" dataDxfId="6">
      <calculatedColumnFormula array="1">_xlfn.IFS(Won[[#This Row],[SALES CHANNEL]]="RENEWAL",Won[[#This Row],[DEAL SIZE]]*Dashboard!$B$7,Won[[#This Row],[SALES CHANNEL]]="AD-HOC",Won[[#This Row],[DEAL SIZE]]*Dashboard!$B$8,Won[[#This Row],[SALES CHANNEL]]="NEW BUSINESS",Won[[#This Row],[DEAL SIZE]]*Dashboard!$B$9)</calculatedColumnFormula>
    </tableColumn>
    <tableColumn id="12" xr3:uid="{8FC74782-142E-4976-AAD2-F29B5742174C}" name="STATUS"/>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1B9410-0A22-4F3E-98CF-20BF9D5E9C9B}" name="LOST" displayName="LOST" ref="A3:K244" totalsRowShown="0">
  <autoFilter ref="A3:K244" xr:uid="{D31B9410-0A22-4F3E-98CF-20BF9D5E9C9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B3D4AB1D-65DA-4C4E-B79F-484D87CA342D}" name="SALES ASSOCIATE"/>
    <tableColumn id="2" xr3:uid="{83773159-530C-4932-B07D-8FC0BB102938}" name="MONTH"/>
    <tableColumn id="3" xr3:uid="{BD50C04E-3F90-4A9A-B9C1-9D1B6C59A278}" name="ACCOUNT NAME"/>
    <tableColumn id="4" xr3:uid="{ADB31DFC-82C1-4064-9C09-F2AD25C4CDD0}" name="DEAL SIZE" dataDxfId="4"/>
    <tableColumn id="5" xr3:uid="{55BC3D8E-DA23-4823-BD3C-070BABBF752A}" name="STAGE"/>
    <tableColumn id="6" xr3:uid="{D8191A4F-853B-46DC-82E3-623F4D7CC73D}" name="PROBABILITY" dataDxfId="3"/>
    <tableColumn id="7" xr3:uid="{2469732E-9AD9-4AFA-B361-BE212C3493B2}" name="WEIGHTED FORECAST" dataDxfId="2"/>
    <tableColumn id="8" xr3:uid="{191A57E6-DBFE-4B20-8727-931308AB00EC}" name="SALES CHANNEL"/>
    <tableColumn id="9" xr3:uid="{927C6850-2280-432B-A790-54A8CD93B3D5}" name="EXPECTED/CLOSE DATE" dataDxfId="1"/>
    <tableColumn id="10" xr3:uid="{F7D2A5E0-9D70-440C-83A0-61D4684E8225}" name="NOTES" dataDxfId="0"/>
    <tableColumn id="11" xr3:uid="{88079D50-A329-4CEB-80FB-B8C0064EA94B}" name="REASON"/>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image" Target="../media/image1.jpeg"/><Relationship Id="rId1" Type="http://schemas.openxmlformats.org/officeDocument/2006/relationships/drawing" Target="../drawings/drawing1.xml"/><Relationship Id="rId4" Type="http://schemas.microsoft.com/office/2007/relationships/slicer" Target="../slicers/slicer2.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5.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6.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7.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76F00-330E-4935-8864-780DD8C4D43E}">
  <sheetPr codeName="Sheet1"/>
  <dimension ref="A1:AA51"/>
  <sheetViews>
    <sheetView showGridLines="0" topLeftCell="C1" zoomScale="95" zoomScaleNormal="95" workbookViewId="0">
      <selection activeCell="AE46" sqref="AE46"/>
    </sheetView>
  </sheetViews>
  <sheetFormatPr defaultColWidth="8.88671875" defaultRowHeight="14.4" x14ac:dyDescent="0.3"/>
  <cols>
    <col min="1" max="1" width="15.33203125" hidden="1" customWidth="1"/>
    <col min="2" max="2" width="21" hidden="1" customWidth="1"/>
    <col min="27" max="27" width="16.5546875" bestFit="1" customWidth="1"/>
  </cols>
  <sheetData>
    <row r="1" spans="1:27" ht="51.6" customHeight="1" x14ac:dyDescent="0.8">
      <c r="A1" s="2" t="s">
        <v>299</v>
      </c>
      <c r="B1" s="2"/>
      <c r="D1" s="4" t="s">
        <v>300</v>
      </c>
      <c r="X1" s="22" t="s">
        <v>334</v>
      </c>
      <c r="Y1" s="18"/>
      <c r="AA1" s="24">
        <v>45181.055543981478</v>
      </c>
    </row>
    <row r="2" spans="1:27" x14ac:dyDescent="0.3">
      <c r="A2" t="s">
        <v>342</v>
      </c>
    </row>
    <row r="3" spans="1:27" x14ac:dyDescent="0.3">
      <c r="A3" s="3" t="s">
        <v>292</v>
      </c>
      <c r="B3" t="s">
        <v>10</v>
      </c>
    </row>
    <row r="4" spans="1:27" x14ac:dyDescent="0.3">
      <c r="A4" s="3" t="s">
        <v>293</v>
      </c>
      <c r="B4" t="s">
        <v>294</v>
      </c>
    </row>
    <row r="6" spans="1:27" x14ac:dyDescent="0.3">
      <c r="A6" s="3" t="s">
        <v>295</v>
      </c>
      <c r="B6" s="3"/>
    </row>
    <row r="7" spans="1:27" x14ac:dyDescent="0.3">
      <c r="A7" s="3" t="s">
        <v>14</v>
      </c>
      <c r="B7" s="13">
        <v>0.1</v>
      </c>
    </row>
    <row r="8" spans="1:27" x14ac:dyDescent="0.3">
      <c r="A8" s="3" t="s">
        <v>36</v>
      </c>
      <c r="B8" s="13">
        <v>0.2</v>
      </c>
    </row>
    <row r="9" spans="1:27" x14ac:dyDescent="0.3">
      <c r="A9" s="3" t="s">
        <v>28</v>
      </c>
      <c r="B9" s="13">
        <v>0.05</v>
      </c>
    </row>
    <row r="11" spans="1:27" x14ac:dyDescent="0.3">
      <c r="A11" s="3" t="s">
        <v>296</v>
      </c>
      <c r="B11" s="3"/>
    </row>
    <row r="12" spans="1:27" x14ac:dyDescent="0.3">
      <c r="A12" s="3" t="s">
        <v>11</v>
      </c>
      <c r="B12" s="6">
        <v>30000</v>
      </c>
    </row>
    <row r="13" spans="1:27" x14ac:dyDescent="0.3">
      <c r="A13" s="3" t="s">
        <v>55</v>
      </c>
      <c r="B13" s="6">
        <v>30000</v>
      </c>
    </row>
    <row r="14" spans="1:27" x14ac:dyDescent="0.3">
      <c r="A14" s="3" t="s">
        <v>80</v>
      </c>
      <c r="B14" s="6">
        <v>30000</v>
      </c>
    </row>
    <row r="15" spans="1:27" x14ac:dyDescent="0.3">
      <c r="A15" s="3" t="s">
        <v>99</v>
      </c>
      <c r="B15" s="6">
        <v>30000</v>
      </c>
    </row>
    <row r="16" spans="1:27" x14ac:dyDescent="0.3">
      <c r="A16" s="3" t="s">
        <v>117</v>
      </c>
      <c r="B16" s="6">
        <v>30000</v>
      </c>
    </row>
    <row r="17" spans="1:2" x14ac:dyDescent="0.3">
      <c r="A17" s="3" t="s">
        <v>134</v>
      </c>
      <c r="B17" s="6">
        <v>30000</v>
      </c>
    </row>
    <row r="18" spans="1:2" x14ac:dyDescent="0.3">
      <c r="A18" s="3" t="s">
        <v>163</v>
      </c>
      <c r="B18" s="6">
        <v>30000</v>
      </c>
    </row>
    <row r="19" spans="1:2" x14ac:dyDescent="0.3">
      <c r="A19" s="3" t="s">
        <v>179</v>
      </c>
      <c r="B19" s="6">
        <v>30000</v>
      </c>
    </row>
    <row r="20" spans="1:2" x14ac:dyDescent="0.3">
      <c r="A20" s="3" t="s">
        <v>193</v>
      </c>
      <c r="B20" s="6">
        <v>30000</v>
      </c>
    </row>
    <row r="21" spans="1:2" x14ac:dyDescent="0.3">
      <c r="A21" s="3" t="s">
        <v>218</v>
      </c>
      <c r="B21" s="6">
        <v>30000</v>
      </c>
    </row>
    <row r="22" spans="1:2" x14ac:dyDescent="0.3">
      <c r="A22" s="3" t="s">
        <v>239</v>
      </c>
      <c r="B22" s="6">
        <v>30000</v>
      </c>
    </row>
    <row r="23" spans="1:2" x14ac:dyDescent="0.3">
      <c r="A23" s="3" t="s">
        <v>256</v>
      </c>
      <c r="B23" s="6">
        <v>30000</v>
      </c>
    </row>
    <row r="25" spans="1:2" x14ac:dyDescent="0.3">
      <c r="A25" s="3" t="s">
        <v>297</v>
      </c>
      <c r="B25" s="3"/>
    </row>
    <row r="26" spans="1:2" x14ac:dyDescent="0.3">
      <c r="A26" s="3" t="s">
        <v>11</v>
      </c>
      <c r="B26" s="6">
        <v>20000</v>
      </c>
    </row>
    <row r="27" spans="1:2" x14ac:dyDescent="0.3">
      <c r="A27" s="3" t="s">
        <v>55</v>
      </c>
      <c r="B27" s="6">
        <v>20000</v>
      </c>
    </row>
    <row r="28" spans="1:2" x14ac:dyDescent="0.3">
      <c r="A28" s="3" t="s">
        <v>80</v>
      </c>
      <c r="B28" s="6">
        <v>20000</v>
      </c>
    </row>
    <row r="29" spans="1:2" x14ac:dyDescent="0.3">
      <c r="A29" s="3" t="s">
        <v>99</v>
      </c>
      <c r="B29" s="6">
        <v>20000</v>
      </c>
    </row>
    <row r="30" spans="1:2" x14ac:dyDescent="0.3">
      <c r="A30" s="3" t="s">
        <v>117</v>
      </c>
      <c r="B30" s="6">
        <v>20000</v>
      </c>
    </row>
    <row r="31" spans="1:2" x14ac:dyDescent="0.3">
      <c r="A31" s="3" t="s">
        <v>134</v>
      </c>
      <c r="B31" s="6">
        <v>20000</v>
      </c>
    </row>
    <row r="32" spans="1:2" x14ac:dyDescent="0.3">
      <c r="A32" s="3" t="s">
        <v>163</v>
      </c>
      <c r="B32" s="6">
        <v>20000</v>
      </c>
    </row>
    <row r="33" spans="1:2" x14ac:dyDescent="0.3">
      <c r="A33" s="3" t="s">
        <v>179</v>
      </c>
      <c r="B33" s="6">
        <v>20000</v>
      </c>
    </row>
    <row r="34" spans="1:2" x14ac:dyDescent="0.3">
      <c r="A34" s="3" t="s">
        <v>193</v>
      </c>
      <c r="B34" s="6">
        <v>20000</v>
      </c>
    </row>
    <row r="35" spans="1:2" x14ac:dyDescent="0.3">
      <c r="A35" s="3" t="s">
        <v>218</v>
      </c>
      <c r="B35" s="6">
        <v>20000</v>
      </c>
    </row>
    <row r="36" spans="1:2" x14ac:dyDescent="0.3">
      <c r="A36" s="3" t="s">
        <v>239</v>
      </c>
      <c r="B36" s="6">
        <v>20000</v>
      </c>
    </row>
    <row r="37" spans="1:2" x14ac:dyDescent="0.3">
      <c r="A37" s="3" t="s">
        <v>256</v>
      </c>
      <c r="B37" s="6">
        <v>20000</v>
      </c>
    </row>
    <row r="39" spans="1:2" x14ac:dyDescent="0.3">
      <c r="A39" s="3" t="s">
        <v>298</v>
      </c>
      <c r="B39" s="3"/>
    </row>
    <row r="40" spans="1:2" x14ac:dyDescent="0.3">
      <c r="A40" s="3" t="s">
        <v>11</v>
      </c>
      <c r="B40" s="6">
        <v>30000</v>
      </c>
    </row>
    <row r="41" spans="1:2" x14ac:dyDescent="0.3">
      <c r="A41" s="3" t="s">
        <v>55</v>
      </c>
      <c r="B41" s="6">
        <v>30000</v>
      </c>
    </row>
    <row r="42" spans="1:2" x14ac:dyDescent="0.3">
      <c r="A42" s="3" t="s">
        <v>80</v>
      </c>
      <c r="B42" s="6">
        <v>30000</v>
      </c>
    </row>
    <row r="43" spans="1:2" x14ac:dyDescent="0.3">
      <c r="A43" s="3" t="s">
        <v>99</v>
      </c>
      <c r="B43" s="6">
        <v>30000</v>
      </c>
    </row>
    <row r="44" spans="1:2" x14ac:dyDescent="0.3">
      <c r="A44" s="3" t="s">
        <v>117</v>
      </c>
      <c r="B44" s="6">
        <v>30000</v>
      </c>
    </row>
    <row r="45" spans="1:2" x14ac:dyDescent="0.3">
      <c r="A45" s="3" t="s">
        <v>134</v>
      </c>
      <c r="B45" s="6">
        <v>30000</v>
      </c>
    </row>
    <row r="46" spans="1:2" x14ac:dyDescent="0.3">
      <c r="A46" s="3" t="s">
        <v>163</v>
      </c>
      <c r="B46" s="6">
        <v>30000</v>
      </c>
    </row>
    <row r="47" spans="1:2" x14ac:dyDescent="0.3">
      <c r="A47" s="3" t="s">
        <v>179</v>
      </c>
      <c r="B47" s="6">
        <v>30000</v>
      </c>
    </row>
    <row r="48" spans="1:2" x14ac:dyDescent="0.3">
      <c r="A48" s="3" t="s">
        <v>193</v>
      </c>
      <c r="B48" s="6">
        <v>30000</v>
      </c>
    </row>
    <row r="49" spans="1:2" x14ac:dyDescent="0.3">
      <c r="A49" s="3" t="s">
        <v>218</v>
      </c>
      <c r="B49" s="6">
        <v>30000</v>
      </c>
    </row>
    <row r="50" spans="1:2" x14ac:dyDescent="0.3">
      <c r="A50" s="3" t="s">
        <v>239</v>
      </c>
      <c r="B50" s="6">
        <v>30000</v>
      </c>
    </row>
    <row r="51" spans="1:2" x14ac:dyDescent="0.3">
      <c r="A51" s="3" t="s">
        <v>256</v>
      </c>
      <c r="B51" s="6">
        <v>30000</v>
      </c>
    </row>
  </sheetData>
  <conditionalFormatting sqref="B3:B4">
    <cfRule type="expression" dxfId="63" priority="7">
      <formula>MOD(ROW(),2)=1</formula>
    </cfRule>
    <cfRule type="expression" dxfId="62" priority="8">
      <formula>MOD(ROW(),2)=0</formula>
    </cfRule>
  </conditionalFormatting>
  <conditionalFormatting sqref="B7:B9">
    <cfRule type="expression" dxfId="61" priority="9">
      <formula>MOD(ROW(),2)=1</formula>
    </cfRule>
    <cfRule type="expression" dxfId="60" priority="10">
      <formula>MOD(ROW(),2)=0</formula>
    </cfRule>
  </conditionalFormatting>
  <conditionalFormatting sqref="B12:B23">
    <cfRule type="expression" dxfId="59" priority="5">
      <formula>MOD(ROW(),2)=0</formula>
    </cfRule>
    <cfRule type="expression" dxfId="58" priority="6">
      <formula>MOD(ROW(),2)=1</formula>
    </cfRule>
  </conditionalFormatting>
  <conditionalFormatting sqref="B26:B37">
    <cfRule type="expression" dxfId="57" priority="3">
      <formula>MOD(ROW(),2)=0</formula>
    </cfRule>
    <cfRule type="expression" dxfId="56" priority="4">
      <formula>MOD(ROW(),2)=1</formula>
    </cfRule>
  </conditionalFormatting>
  <conditionalFormatting sqref="B40:B51">
    <cfRule type="expression" dxfId="55" priority="1">
      <formula>MOD(ROW(),2)=1</formula>
    </cfRule>
    <cfRule type="expression" dxfId="54" priority="2">
      <formula>MOD(ROW(),2)=0</formula>
    </cfRule>
  </conditionalFormatting>
  <pageMargins left="0.7" right="0.7" top="0.75" bottom="0.75" header="0.3" footer="0.3"/>
  <drawing r:id="rId1"/>
  <picture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60AC4-15BC-4087-A70E-2D7D2A139E3C}">
  <sheetPr codeName="Sheet2"/>
  <dimension ref="A1:AG242"/>
  <sheetViews>
    <sheetView workbookViewId="0">
      <selection activeCell="B47" sqref="B47"/>
    </sheetView>
  </sheetViews>
  <sheetFormatPr defaultRowHeight="14.4" x14ac:dyDescent="0.3"/>
  <cols>
    <col min="1" max="1" width="14.33203125" bestFit="1" customWidth="1"/>
    <col min="2" max="2" width="11" customWidth="1"/>
    <col min="3" max="3" width="11.109375" bestFit="1" customWidth="1"/>
    <col min="4" max="4" width="11" customWidth="1"/>
    <col min="5" max="5" width="21.109375" customWidth="1"/>
    <col min="6" max="6" width="11.5546875" customWidth="1"/>
    <col min="8" max="8" width="14.33203125" bestFit="1" customWidth="1"/>
    <col min="9" max="9" width="27.109375" bestFit="1" customWidth="1"/>
    <col min="10" max="10" width="29.6640625" bestFit="1" customWidth="1"/>
    <col min="11" max="11" width="11" customWidth="1"/>
    <col min="12" max="12" width="21.109375" customWidth="1"/>
    <col min="15" max="15" width="13.109375" bestFit="1" customWidth="1"/>
    <col min="16" max="16" width="27.109375" bestFit="1" customWidth="1"/>
    <col min="17" max="17" width="10" bestFit="1" customWidth="1"/>
    <col min="18" max="18" width="13.109375" bestFit="1" customWidth="1"/>
    <col min="19" max="19" width="16.109375" bestFit="1" customWidth="1"/>
    <col min="22" max="22" width="11.109375" bestFit="1" customWidth="1"/>
    <col min="23" max="23" width="11.33203125" customWidth="1"/>
    <col min="24" max="24" width="14.5546875" customWidth="1"/>
    <col min="25" max="25" width="11" customWidth="1"/>
    <col min="26" max="26" width="22.33203125" customWidth="1"/>
    <col min="29" max="29" width="26.33203125" bestFit="1" customWidth="1"/>
    <col min="30" max="30" width="27.109375" style="6" bestFit="1" customWidth="1"/>
    <col min="32" max="32" width="33.88671875" bestFit="1" customWidth="1"/>
    <col min="33" max="33" width="16.109375" style="6" bestFit="1" customWidth="1"/>
  </cols>
  <sheetData>
    <row r="1" spans="1:33" x14ac:dyDescent="0.3">
      <c r="A1" s="28" t="s">
        <v>308</v>
      </c>
      <c r="B1" s="28"/>
      <c r="C1" s="28"/>
      <c r="D1" s="28"/>
      <c r="E1" s="28"/>
      <c r="H1" s="27" t="s">
        <v>309</v>
      </c>
      <c r="I1" s="27"/>
      <c r="J1" s="27"/>
      <c r="K1" s="27"/>
      <c r="L1" s="27"/>
      <c r="O1" s="27" t="s">
        <v>310</v>
      </c>
      <c r="P1" s="27"/>
      <c r="Q1" s="27"/>
      <c r="R1" s="27"/>
      <c r="S1" s="27"/>
      <c r="V1" s="27" t="s">
        <v>311</v>
      </c>
      <c r="W1" s="27"/>
      <c r="X1" s="27"/>
      <c r="Y1" s="27"/>
      <c r="Z1" s="27"/>
      <c r="AC1" s="8" t="s">
        <v>332</v>
      </c>
      <c r="AD1" s="8"/>
      <c r="AF1" s="8" t="s">
        <v>333</v>
      </c>
      <c r="AG1" s="8"/>
    </row>
    <row r="2" spans="1:33" x14ac:dyDescent="0.3">
      <c r="A2" t="s">
        <v>1</v>
      </c>
      <c r="B2" t="s">
        <v>307</v>
      </c>
      <c r="C2" t="s">
        <v>304</v>
      </c>
      <c r="D2" t="s">
        <v>305</v>
      </c>
      <c r="E2" t="s">
        <v>306</v>
      </c>
      <c r="H2" t="s">
        <v>1</v>
      </c>
      <c r="I2" t="s">
        <v>307</v>
      </c>
      <c r="J2" t="s">
        <v>304</v>
      </c>
      <c r="K2" t="s">
        <v>305</v>
      </c>
      <c r="L2" t="s">
        <v>306</v>
      </c>
      <c r="O2" t="s">
        <v>1</v>
      </c>
      <c r="P2" t="s">
        <v>307</v>
      </c>
      <c r="Q2" t="s">
        <v>304</v>
      </c>
      <c r="R2" t="s">
        <v>305</v>
      </c>
      <c r="S2" t="s">
        <v>306</v>
      </c>
      <c r="V2" t="s">
        <v>1</v>
      </c>
      <c r="W2" t="s">
        <v>307</v>
      </c>
      <c r="X2" t="s">
        <v>304</v>
      </c>
      <c r="Y2" t="s">
        <v>305</v>
      </c>
      <c r="Z2" t="s">
        <v>306</v>
      </c>
      <c r="AC2" s="16" t="s">
        <v>314</v>
      </c>
      <c r="AD2" s="6" t="s">
        <v>320</v>
      </c>
      <c r="AF2" s="16" t="s">
        <v>314</v>
      </c>
      <c r="AG2" s="6" t="s">
        <v>330</v>
      </c>
    </row>
    <row r="3" spans="1:33" x14ac:dyDescent="0.3">
      <c r="A3" t="s">
        <v>11</v>
      </c>
      <c r="B3" s="6" cm="1">
        <f t="array" ref="B3">_xlfn.IFS($B$21= "AD-HOCNEW BUSINESSRENEWAL",SUM(Dashboard!B12+Dashboard!B26+Dashboard!B40),$B$21="RENEWAL",Dashboard!B12,$B$21="AD-HOC",Dashboard!B40,$B$21="NEW BUSINESS",Dashboard!B26,$B$21= "AD-HOCNEW BUSINESS",SUM(Dashboard!B26+Dashboard!B40),$B$21= "AD-HOCRENEWAL",SUM(Dashboard!B12+Dashboard!B40),$B$21= "NEW BUSINESSRENEWAL",SUM(Dashboard!B12+Dashboard!B26))</f>
        <v>80000</v>
      </c>
      <c r="C3" s="6">
        <f>((SUMIFS(Won[[#All],[DEAL SIZE]],Won[[#All],[MONTH]],$A3,Won[[#All],[SALES CHANNEL]],$H$17)+(SUMIFS(Won[[#All],[DEAL SIZE]],Won[[#All],[MONTH]],$A3,Won[[#All],[SALES CHANNEL]],$O$17)+(SUMIFS(Won[[#All],[DEAL SIZE]],Won[[#All],[MONTH]],$A3,Won[[#All],[SALES CHANNEL]],$V$17)))))</f>
        <v>575252</v>
      </c>
      <c r="D3" s="14">
        <f>IFERROR(TARGET_TOTAL[[#This Row],[SALES]]/TARGET_TOTAL[[#This Row],[TARGET]],"")</f>
        <v>7.1906499999999998</v>
      </c>
      <c r="E3" s="14">
        <f>1-TARGET_TOTAL[[#This Row],[QUOTA %]]</f>
        <v>-6.1906499999999998</v>
      </c>
      <c r="H3" t="s">
        <v>11</v>
      </c>
      <c r="I3" s="6">
        <f>Dashboard!$B12</f>
        <v>30000</v>
      </c>
      <c r="J3" s="6">
        <f>((SUMIFS(Won[[#All],[DEAL SIZE]],Won[[#All],[MONTH]],$H3,Won[[#All],[SALES CHANNEL]],$H$17)))</f>
        <v>201473</v>
      </c>
      <c r="K3" s="7">
        <f>IFERROR(TARGET_RENEWAL[[#This Row],[SALES]]/TARGET_RENEWAL[[#This Row],[TARGET]],"")</f>
        <v>6.7157666666666671</v>
      </c>
      <c r="L3" s="13">
        <f>1-TARGET_RENEWAL[[#This Row],[QUOTA %]]</f>
        <v>-5.7157666666666671</v>
      </c>
      <c r="O3" t="s">
        <v>11</v>
      </c>
      <c r="P3" s="6">
        <f>Dashboard!$B26</f>
        <v>20000</v>
      </c>
      <c r="Q3" s="6">
        <f>((SUMIFS(Won[[#All],[DEAL SIZE]],Won[[#All],[MONTH]],$O3,Won[[#All],[SALES CHANNEL]],$O$17)))</f>
        <v>259330</v>
      </c>
      <c r="R3" s="7">
        <f>IFERROR(TARGET_NEWBUSINESS[[#This Row],[SALES]]/TARGET_NEWBUSINESS[[#This Row],[TARGET]],"")</f>
        <v>12.9665</v>
      </c>
      <c r="S3" s="7">
        <f>1-TARGET_NEWBUSINESS[[#This Row],[QUOTA %]]</f>
        <v>-11.9665</v>
      </c>
      <c r="V3" t="s">
        <v>11</v>
      </c>
      <c r="W3" s="6">
        <f>Dashboard!$B40</f>
        <v>30000</v>
      </c>
      <c r="X3" s="6">
        <f>((SUMIFS(Won[[#All],[DEAL SIZE]],Won[[#All],[MONTH]],$V3,Won[[#All],[SALES CHANNEL]],$V$17)))</f>
        <v>114449</v>
      </c>
      <c r="Y3" s="7">
        <f>IFERROR(TARGET_ADHOC[[#This Row],[SALES]]/TARGET_ADHOC[[#This Row],[TARGET]],"")</f>
        <v>3.8149666666666668</v>
      </c>
      <c r="Z3" s="7">
        <f>1-TARGET_ADHOC[[#This Row],[QUOTA %]]</f>
        <v>-2.8149666666666668</v>
      </c>
      <c r="AC3" s="17" t="s">
        <v>236</v>
      </c>
      <c r="AD3" s="6">
        <v>16550.943750000002</v>
      </c>
      <c r="AF3" s="17" t="s">
        <v>57</v>
      </c>
      <c r="AG3" s="6">
        <v>67696.929999999993</v>
      </c>
    </row>
    <row r="4" spans="1:33" x14ac:dyDescent="0.3">
      <c r="A4" t="s">
        <v>55</v>
      </c>
      <c r="B4" s="6" cm="1">
        <f t="array" ref="B4">_xlfn.IFS($B$21= "AD-HOCNEW BUSINESSRENEWAL",SUM(Dashboard!B13+Dashboard!B27+Dashboard!B41),$B$21="RENEWAL",Dashboard!B13,$B$21="AD-HOC",Dashboard!B41,$B$21="NEW BUSINESS",Dashboard!B27,$B$21= "AD-HOCNEW BUSINESS",SUM(Dashboard!B27+Dashboard!B41),$B$21= "AD-HOCRENEWAL",SUM(Dashboard!B13+Dashboard!B41),$B$21= "NEW BUSINESSRENEWAL",SUM(Dashboard!B13+Dashboard!B27))</f>
        <v>80000</v>
      </c>
      <c r="C4" s="6">
        <f>((SUMIFS(Won[[#All],[DEAL SIZE]],Won[[#All],[MONTH]],$A4,Won[[#All],[SALES CHANNEL]],$H$17)+(SUMIFS(Won[[#All],[DEAL SIZE]],Won[[#All],[MONTH]],$A4,Won[[#All],[SALES CHANNEL]],$O$17)+(SUMIFS(Won[[#All],[DEAL SIZE]],Won[[#All],[MONTH]],$A4,Won[[#All],[SALES CHANNEL]],$V$17)))))</f>
        <v>345390</v>
      </c>
      <c r="D4" s="14">
        <f>IFERROR(TARGET_TOTAL[[#This Row],[SALES]]/TARGET_TOTAL[[#This Row],[TARGET]],"")</f>
        <v>4.3173750000000002</v>
      </c>
      <c r="E4" s="14">
        <f>1-TARGET_TOTAL[[#This Row],[QUOTA %]]</f>
        <v>-3.3173750000000002</v>
      </c>
      <c r="H4" t="s">
        <v>55</v>
      </c>
      <c r="I4" s="6">
        <f>Dashboard!$B13</f>
        <v>30000</v>
      </c>
      <c r="J4" s="6">
        <f>((SUMIFS(Won[[#All],[DEAL SIZE]],Won[[#All],[MONTH]],$H4,Won[[#All],[SALES CHANNEL]],$H$17)))</f>
        <v>66050</v>
      </c>
      <c r="K4" s="7">
        <f>IFERROR(TARGET_RENEWAL[[#This Row],[SALES]]/TARGET_RENEWAL[[#This Row],[TARGET]],"")</f>
        <v>2.2016666666666667</v>
      </c>
      <c r="L4" s="13">
        <f>1-TARGET_RENEWAL[[#This Row],[QUOTA %]]</f>
        <v>-1.2016666666666667</v>
      </c>
      <c r="O4" t="s">
        <v>55</v>
      </c>
      <c r="P4" s="6">
        <f>Dashboard!$B27</f>
        <v>20000</v>
      </c>
      <c r="Q4" s="6">
        <f>((SUMIFS(Won[[#All],[DEAL SIZE]],Won[[#All],[MONTH]],$O4,Won[[#All],[SALES CHANNEL]],$O$17)))</f>
        <v>167727</v>
      </c>
      <c r="R4" s="7">
        <f>IFERROR(TARGET_NEWBUSINESS[[#This Row],[SALES]]/TARGET_NEWBUSINESS[[#This Row],[TARGET]],"")</f>
        <v>8.3863500000000002</v>
      </c>
      <c r="S4" s="7">
        <f>1-TARGET_NEWBUSINESS[[#This Row],[QUOTA %]]</f>
        <v>-7.3863500000000002</v>
      </c>
      <c r="V4" t="s">
        <v>55</v>
      </c>
      <c r="W4" s="6">
        <f>Dashboard!$B41</f>
        <v>30000</v>
      </c>
      <c r="X4" s="6">
        <f>((SUMIFS(Won[[#All],[DEAL SIZE]],Won[[#All],[MONTH]],$V4,Won[[#All],[SALES CHANNEL]],$V$17)))</f>
        <v>111613</v>
      </c>
      <c r="Y4" s="7">
        <f>IFERROR(TARGET_ADHOC[[#This Row],[SALES]]/TARGET_ADHOC[[#This Row],[TARGET]],"")</f>
        <v>3.7204333333333333</v>
      </c>
      <c r="Z4" s="7">
        <f>1-TARGET_ADHOC[[#This Row],[QUOTA %]]</f>
        <v>-2.7204333333333333</v>
      </c>
      <c r="AC4" s="17" t="s">
        <v>248</v>
      </c>
      <c r="AD4" s="6">
        <v>11120.25375</v>
      </c>
      <c r="AF4" s="17" t="s">
        <v>69</v>
      </c>
      <c r="AG4" s="6">
        <v>61302.2</v>
      </c>
    </row>
    <row r="5" spans="1:33" x14ac:dyDescent="0.3">
      <c r="A5" t="s">
        <v>80</v>
      </c>
      <c r="B5" s="6" cm="1">
        <f t="array" ref="B5">_xlfn.IFS($B$21= "AD-HOCNEW BUSINESSRENEWAL",SUM(Dashboard!B14+Dashboard!B28+Dashboard!B42),$B$21="RENEWAL",Dashboard!B14,$B$21="AD-HOC",Dashboard!B42,$B$21="NEW BUSINESS",Dashboard!B28,$B$21= "AD-HOCNEW BUSINESS",SUM(Dashboard!B28+Dashboard!B42),$B$21= "AD-HOCRENEWAL",SUM(Dashboard!B14+Dashboard!B42),$B$21= "NEW BUSINESSRENEWAL",SUM(Dashboard!B14+Dashboard!B28))</f>
        <v>80000</v>
      </c>
      <c r="C5" s="6">
        <f>((SUMIFS(Won[[#All],[DEAL SIZE]],Won[[#All],[MONTH]],$A5,Won[[#All],[SALES CHANNEL]],$H$17)+(SUMIFS(Won[[#All],[DEAL SIZE]],Won[[#All],[MONTH]],$A5,Won[[#All],[SALES CHANNEL]],$O$17)+(SUMIFS(Won[[#All],[DEAL SIZE]],Won[[#All],[MONTH]],$A5,Won[[#All],[SALES CHANNEL]],$V$17)))))</f>
        <v>408560</v>
      </c>
      <c r="D5" s="14">
        <f>IFERROR(TARGET_TOTAL[[#This Row],[SALES]]/TARGET_TOTAL[[#This Row],[TARGET]],"")</f>
        <v>5.1070000000000002</v>
      </c>
      <c r="E5" s="14">
        <f>1-TARGET_TOTAL[[#This Row],[QUOTA %]]</f>
        <v>-4.1070000000000002</v>
      </c>
      <c r="H5" t="s">
        <v>80</v>
      </c>
      <c r="I5" s="6">
        <f>Dashboard!$B14</f>
        <v>30000</v>
      </c>
      <c r="J5" s="6">
        <f>((SUMIFS(Won[[#All],[DEAL SIZE]],Won[[#All],[MONTH]],$H5,Won[[#All],[SALES CHANNEL]],$H$17)))</f>
        <v>93699</v>
      </c>
      <c r="K5" s="7">
        <f>IFERROR(TARGET_RENEWAL[[#This Row],[SALES]]/TARGET_RENEWAL[[#This Row],[TARGET]],"")</f>
        <v>3.1233</v>
      </c>
      <c r="L5" s="13">
        <f>1-TARGET_RENEWAL[[#This Row],[QUOTA %]]</f>
        <v>-2.1233</v>
      </c>
      <c r="O5" t="s">
        <v>80</v>
      </c>
      <c r="P5" s="6">
        <f>Dashboard!$B28</f>
        <v>20000</v>
      </c>
      <c r="Q5" s="6">
        <f>((SUMIFS(Won[[#All],[DEAL SIZE]],Won[[#All],[MONTH]],$O5,Won[[#All],[SALES CHANNEL]],$O$17)))</f>
        <v>179375</v>
      </c>
      <c r="R5" s="7">
        <f>IFERROR(TARGET_NEWBUSINESS[[#This Row],[SALES]]/TARGET_NEWBUSINESS[[#This Row],[TARGET]],"")</f>
        <v>8.96875</v>
      </c>
      <c r="S5" s="7">
        <f>1-TARGET_NEWBUSINESS[[#This Row],[QUOTA %]]</f>
        <v>-7.96875</v>
      </c>
      <c r="V5" t="s">
        <v>80</v>
      </c>
      <c r="W5" s="6">
        <f>Dashboard!$B42</f>
        <v>30000</v>
      </c>
      <c r="X5" s="6">
        <f>((SUMIFS(Won[[#All],[DEAL SIZE]],Won[[#All],[MONTH]],$V5,Won[[#All],[SALES CHANNEL]],$V$17)))</f>
        <v>135486</v>
      </c>
      <c r="Y5" s="7">
        <f>IFERROR(TARGET_ADHOC[[#This Row],[SALES]]/TARGET_ADHOC[[#This Row],[TARGET]],"")</f>
        <v>4.5162000000000004</v>
      </c>
      <c r="Z5" s="7">
        <f>1-TARGET_ADHOC[[#This Row],[QUOTA %]]</f>
        <v>-3.5162000000000004</v>
      </c>
      <c r="AC5" s="17" t="s">
        <v>250</v>
      </c>
      <c r="AD5" s="6">
        <v>10987.717500000001</v>
      </c>
      <c r="AF5" s="17" t="s">
        <v>33</v>
      </c>
      <c r="AG5" s="6">
        <v>57680.270000000004</v>
      </c>
    </row>
    <row r="6" spans="1:33" x14ac:dyDescent="0.3">
      <c r="A6" t="s">
        <v>99</v>
      </c>
      <c r="B6" s="6" cm="1">
        <f t="array" ref="B6">_xlfn.IFS($B$21= "AD-HOCNEW BUSINESSRENEWAL",SUM(Dashboard!B15+Dashboard!B29+Dashboard!B43),$B$21="RENEWAL",Dashboard!B15,$B$21="AD-HOC",Dashboard!B43,$B$21="NEW BUSINESS",Dashboard!B29,$B$21= "AD-HOCNEW BUSINESS",SUM(Dashboard!B29+Dashboard!B43),$B$21= "AD-HOCRENEWAL",SUM(Dashboard!B15+Dashboard!B43),$B$21= "NEW BUSINESSRENEWAL",SUM(Dashboard!B15+Dashboard!B29))</f>
        <v>80000</v>
      </c>
      <c r="C6" s="6">
        <f>((SUMIFS(Won[[#All],[DEAL SIZE]],Won[[#All],[MONTH]],$A6,Won[[#All],[SALES CHANNEL]],$H$17)+(SUMIFS(Won[[#All],[DEAL SIZE]],Won[[#All],[MONTH]],$A6,Won[[#All],[SALES CHANNEL]],$O$17)+(SUMIFS(Won[[#All],[DEAL SIZE]],Won[[#All],[MONTH]],$A6,Won[[#All],[SALES CHANNEL]],$V$17)))))</f>
        <v>323002.7</v>
      </c>
      <c r="D6" s="14">
        <f>IFERROR(TARGET_TOTAL[[#This Row],[SALES]]/TARGET_TOTAL[[#This Row],[TARGET]],"")</f>
        <v>4.0375337500000006</v>
      </c>
      <c r="E6" s="14">
        <f>1-TARGET_TOTAL[[#This Row],[QUOTA %]]</f>
        <v>-3.0375337500000006</v>
      </c>
      <c r="H6" t="s">
        <v>99</v>
      </c>
      <c r="I6" s="6">
        <f>Dashboard!$B15</f>
        <v>30000</v>
      </c>
      <c r="J6" s="6">
        <f>((SUMIFS(Won[[#All],[DEAL SIZE]],Won[[#All],[MONTH]],$H6,Won[[#All],[SALES CHANNEL]],$H$17)))</f>
        <v>61222</v>
      </c>
      <c r="K6" s="7">
        <f>IFERROR(TARGET_RENEWAL[[#This Row],[SALES]]/TARGET_RENEWAL[[#This Row],[TARGET]],"")</f>
        <v>2.0407333333333333</v>
      </c>
      <c r="L6" s="13">
        <f>1-TARGET_RENEWAL[[#This Row],[QUOTA %]]</f>
        <v>-1.0407333333333333</v>
      </c>
      <c r="O6" t="s">
        <v>99</v>
      </c>
      <c r="P6" s="6">
        <f>Dashboard!$B29</f>
        <v>20000</v>
      </c>
      <c r="Q6" s="6">
        <f>((SUMIFS(Won[[#All],[DEAL SIZE]],Won[[#All],[MONTH]],$O6,Won[[#All],[SALES CHANNEL]],$O$17)))</f>
        <v>117190.65000000001</v>
      </c>
      <c r="R6" s="7">
        <f>IFERROR(TARGET_NEWBUSINESS[[#This Row],[SALES]]/TARGET_NEWBUSINESS[[#This Row],[TARGET]],"")</f>
        <v>5.8595325000000003</v>
      </c>
      <c r="S6" s="7">
        <f>1-TARGET_NEWBUSINESS[[#This Row],[QUOTA %]]</f>
        <v>-4.8595325000000003</v>
      </c>
      <c r="V6" t="s">
        <v>99</v>
      </c>
      <c r="W6" s="6">
        <f>Dashboard!$B43</f>
        <v>30000</v>
      </c>
      <c r="X6" s="6">
        <f>((SUMIFS(Won[[#All],[DEAL SIZE]],Won[[#All],[MONTH]],$V6,Won[[#All],[SALES CHANNEL]],$V$17)))</f>
        <v>144590.04999999999</v>
      </c>
      <c r="Y6" s="7">
        <f>IFERROR(TARGET_ADHOC[[#This Row],[SALES]]/TARGET_ADHOC[[#This Row],[TARGET]],"")</f>
        <v>4.8196683333333326</v>
      </c>
      <c r="Z6" s="7">
        <f>1-TARGET_ADHOC[[#This Row],[QUOTA %]]</f>
        <v>-3.8196683333333326</v>
      </c>
      <c r="AC6" s="17" t="s">
        <v>229</v>
      </c>
      <c r="AD6" s="6">
        <v>10589.9475</v>
      </c>
      <c r="AF6" s="17" t="s">
        <v>97</v>
      </c>
      <c r="AG6" s="6">
        <v>54513.2</v>
      </c>
    </row>
    <row r="7" spans="1:33" x14ac:dyDescent="0.3">
      <c r="A7" t="s">
        <v>117</v>
      </c>
      <c r="B7" s="6" cm="1">
        <f t="array" ref="B7">_xlfn.IFS($B$21= "AD-HOCNEW BUSINESSRENEWAL",SUM(Dashboard!B16+Dashboard!B30+Dashboard!B44),$B$21="RENEWAL",Dashboard!B16,$B$21="AD-HOC",Dashboard!B44,$B$21="NEW BUSINESS",Dashboard!B30,$B$21= "AD-HOCNEW BUSINESS",SUM(Dashboard!B30+Dashboard!B44),$B$21= "AD-HOCRENEWAL",SUM(Dashboard!B16+Dashboard!B44),$B$21= "NEW BUSINESSRENEWAL",SUM(Dashboard!B16+Dashboard!B30))</f>
        <v>80000</v>
      </c>
      <c r="C7" s="6">
        <f>((SUMIFS(Won[[#All],[DEAL SIZE]],Won[[#All],[MONTH]],$A7,Won[[#All],[SALES CHANNEL]],$H$17)+(SUMIFS(Won[[#All],[DEAL SIZE]],Won[[#All],[MONTH]],$A7,Won[[#All],[SALES CHANNEL]],$O$17)+(SUMIFS(Won[[#All],[DEAL SIZE]],Won[[#All],[MONTH]],$A7,Won[[#All],[SALES CHANNEL]],$V$17)))))</f>
        <v>283428.10000000003</v>
      </c>
      <c r="D7" s="14">
        <f>IFERROR(TARGET_TOTAL[[#This Row],[SALES]]/TARGET_TOTAL[[#This Row],[TARGET]],"")</f>
        <v>3.5428512500000005</v>
      </c>
      <c r="E7" s="14">
        <f>1-TARGET_TOTAL[[#This Row],[QUOTA %]]</f>
        <v>-2.5428512500000005</v>
      </c>
      <c r="H7" t="s">
        <v>117</v>
      </c>
      <c r="I7" s="6">
        <f>Dashboard!$B16</f>
        <v>30000</v>
      </c>
      <c r="J7" s="6">
        <f>((SUMIFS(Won[[#All],[DEAL SIZE]],Won[[#All],[MONTH]],$H7,Won[[#All],[SALES CHANNEL]],$H$17)))</f>
        <v>69446.7</v>
      </c>
      <c r="K7" s="7">
        <f>IFERROR(TARGET_RENEWAL[[#This Row],[SALES]]/TARGET_RENEWAL[[#This Row],[TARGET]],"")</f>
        <v>2.3148900000000001</v>
      </c>
      <c r="L7" s="13">
        <f>1-TARGET_RENEWAL[[#This Row],[QUOTA %]]</f>
        <v>-1.3148900000000001</v>
      </c>
      <c r="O7" t="s">
        <v>117</v>
      </c>
      <c r="P7" s="6">
        <f>Dashboard!$B30</f>
        <v>20000</v>
      </c>
      <c r="Q7" s="6">
        <f>((SUMIFS(Won[[#All],[DEAL SIZE]],Won[[#All],[MONTH]],$O7,Won[[#All],[SALES CHANNEL]],$O$17)))</f>
        <v>101674.3</v>
      </c>
      <c r="R7" s="7">
        <f>IFERROR(TARGET_NEWBUSINESS[[#This Row],[SALES]]/TARGET_NEWBUSINESS[[#This Row],[TARGET]],"")</f>
        <v>5.0837149999999998</v>
      </c>
      <c r="S7" s="7">
        <f>1-TARGET_NEWBUSINESS[[#This Row],[QUOTA %]]</f>
        <v>-4.0837149999999998</v>
      </c>
      <c r="V7" t="s">
        <v>117</v>
      </c>
      <c r="W7" s="6">
        <f>Dashboard!$B44</f>
        <v>30000</v>
      </c>
      <c r="X7" s="6">
        <f>((SUMIFS(Won[[#All],[DEAL SIZE]],Won[[#All],[MONTH]],$V7,Won[[#All],[SALES CHANNEL]],$V$17)))</f>
        <v>112307.1</v>
      </c>
      <c r="Y7" s="7">
        <f>IFERROR(TARGET_ADHOC[[#This Row],[SALES]]/TARGET_ADHOC[[#This Row],[TARGET]],"")</f>
        <v>3.7435700000000001</v>
      </c>
      <c r="Z7" s="7">
        <f>1-TARGET_ADHOC[[#This Row],[QUOTA %]]</f>
        <v>-2.7435700000000001</v>
      </c>
      <c r="AC7" s="17" t="s">
        <v>286</v>
      </c>
      <c r="AD7" s="6">
        <v>7531.1700000000019</v>
      </c>
      <c r="AF7" s="17" t="s">
        <v>107</v>
      </c>
      <c r="AG7" s="6">
        <v>48548.3</v>
      </c>
    </row>
    <row r="8" spans="1:33" x14ac:dyDescent="0.3">
      <c r="A8" t="s">
        <v>134</v>
      </c>
      <c r="B8" s="6" cm="1">
        <f t="array" ref="B8">_xlfn.IFS($B$21= "AD-HOCNEW BUSINESSRENEWAL",SUM(Dashboard!B17+Dashboard!B31+Dashboard!B45),$B$21="RENEWAL",Dashboard!B17,$B$21="AD-HOC",Dashboard!B45,$B$21="NEW BUSINESS",Dashboard!B31,$B$21= "AD-HOCNEW BUSINESS",SUM(Dashboard!B31+Dashboard!B45),$B$21= "AD-HOCRENEWAL",SUM(Dashboard!B17+Dashboard!B45),$B$21= "NEW BUSINESSRENEWAL",SUM(Dashboard!B17+Dashboard!B31))</f>
        <v>80000</v>
      </c>
      <c r="C8" s="6">
        <f>((SUMIFS(Won[[#All],[DEAL SIZE]],Won[[#All],[MONTH]],$A8,Won[[#All],[SALES CHANNEL]],$H$17)+(SUMIFS(Won[[#All],[DEAL SIZE]],Won[[#All],[MONTH]],$A8,Won[[#All],[SALES CHANNEL]],$O$17)+(SUMIFS(Won[[#All],[DEAL SIZE]],Won[[#All],[MONTH]],$A8,Won[[#All],[SALES CHANNEL]],$V$17)))))</f>
        <v>460713.13</v>
      </c>
      <c r="D8" s="14">
        <f>IFERROR(TARGET_TOTAL[[#This Row],[SALES]]/TARGET_TOTAL[[#This Row],[TARGET]],"")</f>
        <v>5.7589141250000004</v>
      </c>
      <c r="E8" s="14">
        <f>1-TARGET_TOTAL[[#This Row],[QUOTA %]]</f>
        <v>-4.7589141250000004</v>
      </c>
      <c r="H8" t="s">
        <v>134</v>
      </c>
      <c r="I8" s="6">
        <f>Dashboard!$B17</f>
        <v>30000</v>
      </c>
      <c r="J8" s="6">
        <f>((SUMIFS(Won[[#All],[DEAL SIZE]],Won[[#All],[MONTH]],$H8,Won[[#All],[SALES CHANNEL]],$H$17)))</f>
        <v>117646.31749999999</v>
      </c>
      <c r="K8" s="7">
        <f>IFERROR(TARGET_RENEWAL[[#This Row],[SALES]]/TARGET_RENEWAL[[#This Row],[TARGET]],"")</f>
        <v>3.9215439166666664</v>
      </c>
      <c r="L8" s="13">
        <f>1-TARGET_RENEWAL[[#This Row],[QUOTA %]]</f>
        <v>-2.9215439166666664</v>
      </c>
      <c r="O8" t="s">
        <v>134</v>
      </c>
      <c r="P8" s="6">
        <f>Dashboard!$B31</f>
        <v>20000</v>
      </c>
      <c r="Q8" s="6">
        <f>((SUMIFS(Won[[#All],[DEAL SIZE]],Won[[#All],[MONTH]],$O8,Won[[#All],[SALES CHANNEL]],$O$17)))</f>
        <v>166561.0575</v>
      </c>
      <c r="R8" s="7">
        <f>IFERROR(TARGET_NEWBUSINESS[[#This Row],[SALES]]/TARGET_NEWBUSINESS[[#This Row],[TARGET]],"")</f>
        <v>8.3280528749999991</v>
      </c>
      <c r="S8" s="7">
        <f>1-TARGET_NEWBUSINESS[[#This Row],[QUOTA %]]</f>
        <v>-7.3280528749999991</v>
      </c>
      <c r="V8" t="s">
        <v>134</v>
      </c>
      <c r="W8" s="6">
        <f>Dashboard!$B45</f>
        <v>30000</v>
      </c>
      <c r="X8" s="6">
        <f>((SUMIFS(Won[[#All],[DEAL SIZE]],Won[[#All],[MONTH]],$V8,Won[[#All],[SALES CHANNEL]],$V$17)))</f>
        <v>176505.755</v>
      </c>
      <c r="Y8" s="7">
        <f>IFERROR(TARGET_ADHOC[[#This Row],[SALES]]/TARGET_ADHOC[[#This Row],[TARGET]],"")</f>
        <v>5.8835251666666668</v>
      </c>
      <c r="Z8" s="7">
        <f>1-TARGET_ADHOC[[#This Row],[QUOTA %]]</f>
        <v>-4.8835251666666668</v>
      </c>
      <c r="AC8" s="17" t="s">
        <v>227</v>
      </c>
      <c r="AD8" s="6">
        <v>7412.5837499999998</v>
      </c>
      <c r="AF8" s="17" t="s">
        <v>93</v>
      </c>
      <c r="AG8" s="6">
        <v>45305.017500000002</v>
      </c>
    </row>
    <row r="9" spans="1:33" x14ac:dyDescent="0.3">
      <c r="A9" t="s">
        <v>163</v>
      </c>
      <c r="B9" s="6" cm="1">
        <f t="array" ref="B9">_xlfn.IFS($B$21= "AD-HOCNEW BUSINESSRENEWAL",SUM(Dashboard!B18+Dashboard!B32+Dashboard!B46),$B$21="RENEWAL",Dashboard!B18,$B$21="AD-HOC",Dashboard!B46,$B$21="NEW BUSINESS",Dashboard!B32,$B$21= "AD-HOCNEW BUSINESS",SUM(Dashboard!B32+Dashboard!B46),$B$21= "AD-HOCRENEWAL",SUM(Dashboard!B18+Dashboard!B46),$B$21= "NEW BUSINESSRENEWAL",SUM(Dashboard!B18+Dashboard!B32))</f>
        <v>80000</v>
      </c>
      <c r="C9" s="6">
        <f>((SUMIFS(Won[[#All],[DEAL SIZE]],Won[[#All],[MONTH]],$A9,Won[[#All],[SALES CHANNEL]],$H$17)+(SUMIFS(Won[[#All],[DEAL SIZE]],Won[[#All],[MONTH]],$A9,Won[[#All],[SALES CHANNEL]],$O$17)+(SUMIFS(Won[[#All],[DEAL SIZE]],Won[[#All],[MONTH]],$A9,Won[[#All],[SALES CHANNEL]],$V$17)))))</f>
        <v>160738.28000000003</v>
      </c>
      <c r="D9" s="14">
        <f>IFERROR(TARGET_TOTAL[[#This Row],[SALES]]/TARGET_TOTAL[[#This Row],[TARGET]],"")</f>
        <v>2.0092285000000003</v>
      </c>
      <c r="E9" s="14">
        <f>1-TARGET_TOTAL[[#This Row],[QUOTA %]]</f>
        <v>-1.0092285000000003</v>
      </c>
      <c r="H9" t="s">
        <v>163</v>
      </c>
      <c r="I9" s="6">
        <f>Dashboard!$B18</f>
        <v>30000</v>
      </c>
      <c r="J9" s="6">
        <f>((SUMIFS(Won[[#All],[DEAL SIZE]],Won[[#All],[MONTH]],$H9,Won[[#All],[SALES CHANNEL]],$H$17)))</f>
        <v>67118.110000000015</v>
      </c>
      <c r="K9" s="7">
        <f>IFERROR(TARGET_RENEWAL[[#This Row],[SALES]]/TARGET_RENEWAL[[#This Row],[TARGET]],"")</f>
        <v>2.2372703333333339</v>
      </c>
      <c r="L9" s="13">
        <f>1-TARGET_RENEWAL[[#This Row],[QUOTA %]]</f>
        <v>-1.2372703333333339</v>
      </c>
      <c r="O9" t="s">
        <v>163</v>
      </c>
      <c r="P9" s="6">
        <f>Dashboard!$B32</f>
        <v>20000</v>
      </c>
      <c r="Q9" s="6">
        <f>((SUMIFS(Won[[#All],[DEAL SIZE]],Won[[#All],[MONTH]],$O9,Won[[#All],[SALES CHANNEL]],$O$17)))</f>
        <v>55631.37</v>
      </c>
      <c r="R9" s="7">
        <f>IFERROR(TARGET_NEWBUSINESS[[#This Row],[SALES]]/TARGET_NEWBUSINESS[[#This Row],[TARGET]],"")</f>
        <v>2.7815685000000001</v>
      </c>
      <c r="S9" s="7">
        <f>1-TARGET_NEWBUSINESS[[#This Row],[QUOTA %]]</f>
        <v>-1.7815685000000001</v>
      </c>
      <c r="V9" t="s">
        <v>163</v>
      </c>
      <c r="W9" s="6">
        <f>Dashboard!$B46</f>
        <v>30000</v>
      </c>
      <c r="X9" s="6">
        <f>((SUMIFS(Won[[#All],[DEAL SIZE]],Won[[#All],[MONTH]],$V9,Won[[#All],[SALES CHANNEL]],$V$17)))</f>
        <v>37988.800000000003</v>
      </c>
      <c r="Y9" s="7">
        <f>IFERROR(TARGET_ADHOC[[#This Row],[SALES]]/TARGET_ADHOC[[#This Row],[TARGET]],"")</f>
        <v>1.2662933333333335</v>
      </c>
      <c r="Z9" s="7">
        <f>1-TARGET_ADHOC[[#This Row],[QUOTA %]]</f>
        <v>-0.26629333333333349</v>
      </c>
      <c r="AC9" s="17" t="s">
        <v>278</v>
      </c>
      <c r="AD9" s="6">
        <v>7028.2060000000001</v>
      </c>
      <c r="AF9" s="17" t="s">
        <v>121</v>
      </c>
      <c r="AG9" s="6">
        <v>41335.5</v>
      </c>
    </row>
    <row r="10" spans="1:33" x14ac:dyDescent="0.3">
      <c r="A10" t="s">
        <v>179</v>
      </c>
      <c r="B10" s="6" cm="1">
        <f t="array" ref="B10">_xlfn.IFS($B$21= "AD-HOCNEW BUSINESSRENEWAL",SUM(Dashboard!B19+Dashboard!B33+Dashboard!B47),$B$21="RENEWAL",Dashboard!B19,$B$21="AD-HOC",Dashboard!B47,$B$21="NEW BUSINESS",Dashboard!B33,$B$21= "AD-HOCNEW BUSINESS",SUM(Dashboard!B33+Dashboard!B47),$B$21= "AD-HOCRENEWAL",SUM(Dashboard!B19+Dashboard!B47),$B$21= "NEW BUSINESSRENEWAL",SUM(Dashboard!B19+Dashboard!B33))</f>
        <v>80000</v>
      </c>
      <c r="C10" s="6">
        <f>((SUMIFS(Won[[#All],[DEAL SIZE]],Won[[#All],[MONTH]],$A10,Won[[#All],[SALES CHANNEL]],$H$17)+(SUMIFS(Won[[#All],[DEAL SIZE]],Won[[#All],[MONTH]],$A10,Won[[#All],[SALES CHANNEL]],$O$17)+(SUMIFS(Won[[#All],[DEAL SIZE]],Won[[#All],[MONTH]],$A10,Won[[#All],[SALES CHANNEL]],$V$17)))))</f>
        <v>188313.84000000003</v>
      </c>
      <c r="D10" s="14">
        <f>IFERROR(TARGET_TOTAL[[#This Row],[SALES]]/TARGET_TOTAL[[#This Row],[TARGET]],"")</f>
        <v>2.3539230000000004</v>
      </c>
      <c r="E10" s="14">
        <f>1-TARGET_TOTAL[[#This Row],[QUOTA %]]</f>
        <v>-1.3539230000000004</v>
      </c>
      <c r="H10" t="s">
        <v>179</v>
      </c>
      <c r="I10" s="6">
        <f>Dashboard!$B19</f>
        <v>30000</v>
      </c>
      <c r="J10" s="6">
        <f>((SUMIFS(Won[[#All],[DEAL SIZE]],Won[[#All],[MONTH]],$H10,Won[[#All],[SALES CHANNEL]],$H$17)))</f>
        <v>88225.590000000011</v>
      </c>
      <c r="K10" s="7">
        <f>IFERROR(TARGET_RENEWAL[[#This Row],[SALES]]/TARGET_RENEWAL[[#This Row],[TARGET]],"")</f>
        <v>2.9408530000000002</v>
      </c>
      <c r="L10" s="13">
        <f>1-TARGET_RENEWAL[[#This Row],[QUOTA %]]</f>
        <v>-1.9408530000000002</v>
      </c>
      <c r="O10" t="s">
        <v>179</v>
      </c>
      <c r="P10" s="6">
        <f>Dashboard!$B33</f>
        <v>20000</v>
      </c>
      <c r="Q10" s="6">
        <f>((SUMIFS(Won[[#All],[DEAL SIZE]],Won[[#All],[MONTH]],$O10,Won[[#All],[SALES CHANNEL]],$O$17)))</f>
        <v>35394.75</v>
      </c>
      <c r="R10" s="7">
        <f>IFERROR(TARGET_NEWBUSINESS[[#This Row],[SALES]]/TARGET_NEWBUSINESS[[#This Row],[TARGET]],"")</f>
        <v>1.7697375</v>
      </c>
      <c r="S10" s="7">
        <f>1-TARGET_NEWBUSINESS[[#This Row],[QUOTA %]]</f>
        <v>-0.76973749999999996</v>
      </c>
      <c r="V10" t="s">
        <v>179</v>
      </c>
      <c r="W10" s="6">
        <f>Dashboard!$B47</f>
        <v>30000</v>
      </c>
      <c r="X10" s="6">
        <f>((SUMIFS(Won[[#All],[DEAL SIZE]],Won[[#All],[MONTH]],$V10,Won[[#All],[SALES CHANNEL]],$V$17)))</f>
        <v>64693.5</v>
      </c>
      <c r="Y10" s="7">
        <f>IFERROR(TARGET_ADHOC[[#This Row],[SALES]]/TARGET_ADHOC[[#This Row],[TARGET]],"")</f>
        <v>2.15645</v>
      </c>
      <c r="Z10" s="7">
        <f>1-TARGET_ADHOC[[#This Row],[QUOTA %]]</f>
        <v>-1.15645</v>
      </c>
      <c r="AC10" s="17" t="s">
        <v>273</v>
      </c>
      <c r="AD10" s="6">
        <v>6726.1240000000007</v>
      </c>
      <c r="AF10" s="17" t="s">
        <v>146</v>
      </c>
      <c r="AG10" s="6">
        <v>40123.5</v>
      </c>
    </row>
    <row r="11" spans="1:33" x14ac:dyDescent="0.3">
      <c r="A11" t="s">
        <v>193</v>
      </c>
      <c r="B11" s="6" cm="1">
        <f t="array" ref="B11">_xlfn.IFS($B$21= "AD-HOCNEW BUSINESSRENEWAL",SUM(Dashboard!B20+Dashboard!B34+Dashboard!B48),$B$21="RENEWAL",Dashboard!B20,$B$21="AD-HOC",Dashboard!B48,$B$21="NEW BUSINESS",Dashboard!B34,$B$21= "AD-HOCNEW BUSINESS",SUM(Dashboard!B34+Dashboard!B48),$B$21= "AD-HOCRENEWAL",SUM(Dashboard!B20+Dashboard!B48),$B$21= "NEW BUSINESSRENEWAL",SUM(Dashboard!B20+Dashboard!B34))</f>
        <v>80000</v>
      </c>
      <c r="C11" s="6">
        <f>((SUMIFS(Won[[#All],[DEAL SIZE]],Won[[#All],[MONTH]],$A11,Won[[#All],[SALES CHANNEL]],$H$17)+(SUMIFS(Won[[#All],[DEAL SIZE]],Won[[#All],[MONTH]],$A11,Won[[#All],[SALES CHANNEL]],$O$17)+(SUMIFS(Won[[#All],[DEAL SIZE]],Won[[#All],[MONTH]],$A11,Won[[#All],[SALES CHANNEL]],$V$17)))))</f>
        <v>146317.18</v>
      </c>
      <c r="D11" s="14">
        <f>IFERROR(TARGET_TOTAL[[#This Row],[SALES]]/TARGET_TOTAL[[#This Row],[TARGET]],"")</f>
        <v>1.8289647499999999</v>
      </c>
      <c r="E11" s="14">
        <f>1-TARGET_TOTAL[[#This Row],[QUOTA %]]</f>
        <v>-0.82896474999999992</v>
      </c>
      <c r="H11" t="s">
        <v>193</v>
      </c>
      <c r="I11" s="6">
        <f>Dashboard!$B20</f>
        <v>30000</v>
      </c>
      <c r="J11" s="6">
        <f>((SUMIFS(Won[[#All],[DEAL SIZE]],Won[[#All],[MONTH]],$H11,Won[[#All],[SALES CHANNEL]],$H$17)))</f>
        <v>0</v>
      </c>
      <c r="K11" s="7">
        <f>IFERROR(TARGET_RENEWAL[[#This Row],[SALES]]/TARGET_RENEWAL[[#This Row],[TARGET]],"")</f>
        <v>0</v>
      </c>
      <c r="L11" s="13">
        <f>1-TARGET_RENEWAL[[#This Row],[QUOTA %]]</f>
        <v>1</v>
      </c>
      <c r="O11" t="s">
        <v>193</v>
      </c>
      <c r="P11" s="6">
        <f>Dashboard!$B34</f>
        <v>20000</v>
      </c>
      <c r="Q11" s="6">
        <f>((SUMIFS(Won[[#All],[DEAL SIZE]],Won[[#All],[MONTH]],$O11,Won[[#All],[SALES CHANNEL]],$O$17)))</f>
        <v>93611.22</v>
      </c>
      <c r="R11" s="7">
        <f>IFERROR(TARGET_NEWBUSINESS[[#This Row],[SALES]]/TARGET_NEWBUSINESS[[#This Row],[TARGET]],"")</f>
        <v>4.680561</v>
      </c>
      <c r="S11" s="7">
        <f>1-TARGET_NEWBUSINESS[[#This Row],[QUOTA %]]</f>
        <v>-3.680561</v>
      </c>
      <c r="V11" t="s">
        <v>193</v>
      </c>
      <c r="W11" s="6">
        <f>Dashboard!$B48</f>
        <v>30000</v>
      </c>
      <c r="X11" s="6">
        <f>((SUMIFS(Won[[#All],[DEAL SIZE]],Won[[#All],[MONTH]],$V11,Won[[#All],[SALES CHANNEL]],$V$17)))</f>
        <v>52705.96</v>
      </c>
      <c r="Y11" s="7">
        <f>IFERROR(TARGET_ADHOC[[#This Row],[SALES]]/TARGET_ADHOC[[#This Row],[TARGET]],"")</f>
        <v>1.7568653333333333</v>
      </c>
      <c r="Z11" s="7">
        <f>1-TARGET_ADHOC[[#This Row],[QUOTA %]]</f>
        <v>-0.75686533333333328</v>
      </c>
      <c r="AC11" s="17" t="s">
        <v>233</v>
      </c>
      <c r="AD11" s="6">
        <v>6537.52</v>
      </c>
      <c r="AF11" s="17" t="s">
        <v>149</v>
      </c>
      <c r="AG11" s="6">
        <v>38855.714999999997</v>
      </c>
    </row>
    <row r="12" spans="1:33" x14ac:dyDescent="0.3">
      <c r="A12" t="s">
        <v>218</v>
      </c>
      <c r="B12" s="6" cm="1">
        <f t="array" ref="B12">_xlfn.IFS($B$21= "AD-HOCNEW BUSINESSRENEWAL",SUM(Dashboard!B21+Dashboard!B35+Dashboard!B49),$B$21="RENEWAL",Dashboard!B21,$B$21="AD-HOC",Dashboard!B49,$B$21="NEW BUSINESS",Dashboard!B35,$B$21= "AD-HOCNEW BUSINESS",SUM(Dashboard!B35+Dashboard!B49),$B$21= "AD-HOCRENEWAL",SUM(Dashboard!B21+Dashboard!B49),$B$21= "NEW BUSINESSRENEWAL",SUM(Dashboard!B21+Dashboard!B35))</f>
        <v>80000</v>
      </c>
      <c r="C12" s="6">
        <f>((SUMIFS(Won[[#All],[DEAL SIZE]],Won[[#All],[MONTH]],$A12,Won[[#All],[SALES CHANNEL]],$H$17)+(SUMIFS(Won[[#All],[DEAL SIZE]],Won[[#All],[MONTH]],$A12,Won[[#All],[SALES CHANNEL]],$O$17)+(SUMIFS(Won[[#All],[DEAL SIZE]],Won[[#All],[MONTH]],$A12,Won[[#All],[SALES CHANNEL]],$V$17)))))</f>
        <v>61362.62</v>
      </c>
      <c r="D12" s="14">
        <f>IFERROR(TARGET_TOTAL[[#This Row],[SALES]]/TARGET_TOTAL[[#This Row],[TARGET]],"")</f>
        <v>0.76703275000000004</v>
      </c>
      <c r="E12" s="14">
        <f>1-TARGET_TOTAL[[#This Row],[QUOTA %]]</f>
        <v>0.23296724999999996</v>
      </c>
      <c r="H12" t="s">
        <v>218</v>
      </c>
      <c r="I12" s="6">
        <f>Dashboard!$B21</f>
        <v>30000</v>
      </c>
      <c r="J12" s="6">
        <f>((SUMIFS(Won[[#All],[DEAL SIZE]],Won[[#All],[MONTH]],$H12,Won[[#All],[SALES CHANNEL]],$H$17)))</f>
        <v>20810.514999999999</v>
      </c>
      <c r="K12" s="7">
        <f>IFERROR(TARGET_RENEWAL[[#This Row],[SALES]]/TARGET_RENEWAL[[#This Row],[TARGET]],"")</f>
        <v>0.69368383333333328</v>
      </c>
      <c r="L12" s="13">
        <f>1-TARGET_RENEWAL[[#This Row],[QUOTA %]]</f>
        <v>0.30631616666666672</v>
      </c>
      <c r="O12" t="s">
        <v>218</v>
      </c>
      <c r="P12" s="6">
        <f>Dashboard!$B35</f>
        <v>20000</v>
      </c>
      <c r="Q12" s="6">
        <f>((SUMIFS(Won[[#All],[DEAL SIZE]],Won[[#All],[MONTH]],$O12,Won[[#All],[SALES CHANNEL]],$O$17)))</f>
        <v>27745.245000000003</v>
      </c>
      <c r="R12" s="7">
        <f>IFERROR(TARGET_NEWBUSINESS[[#This Row],[SALES]]/TARGET_NEWBUSINESS[[#This Row],[TARGET]],"")</f>
        <v>1.38726225</v>
      </c>
      <c r="S12" s="7">
        <f>1-TARGET_NEWBUSINESS[[#This Row],[QUOTA %]]</f>
        <v>-0.38726225000000003</v>
      </c>
      <c r="V12" t="s">
        <v>218</v>
      </c>
      <c r="W12" s="6">
        <f>Dashboard!$B49</f>
        <v>30000</v>
      </c>
      <c r="X12" s="6">
        <f>((SUMIFS(Won[[#All],[DEAL SIZE]],Won[[#All],[MONTH]],$V12,Won[[#All],[SALES CHANNEL]],$V$17)))</f>
        <v>12806.859999999999</v>
      </c>
      <c r="Y12" s="7">
        <f>IFERROR(TARGET_ADHOC[[#This Row],[SALES]]/TARGET_ADHOC[[#This Row],[TARGET]],"")</f>
        <v>0.42689533333333329</v>
      </c>
      <c r="Z12" s="7">
        <f>1-TARGET_ADHOC[[#This Row],[QUOTA %]]</f>
        <v>0.57310466666666671</v>
      </c>
      <c r="AC12" s="17" t="s">
        <v>290</v>
      </c>
      <c r="AD12" s="6">
        <v>6200</v>
      </c>
      <c r="AF12" s="17" t="s">
        <v>140</v>
      </c>
      <c r="AG12" s="6">
        <v>37837.300000000003</v>
      </c>
    </row>
    <row r="13" spans="1:33" x14ac:dyDescent="0.3">
      <c r="A13" t="s">
        <v>239</v>
      </c>
      <c r="B13" s="6" cm="1">
        <f t="array" ref="B13">_xlfn.IFS($B$21= "AD-HOCNEW BUSINESSRENEWAL",SUM(Dashboard!B22+Dashboard!B36+Dashboard!B50),$B$21="RENEWAL",Dashboard!B22,$B$21="AD-HOC",Dashboard!B50,$B$21="NEW BUSINESS",Dashboard!B36,$B$21= "AD-HOCNEW BUSINESS",SUM(Dashboard!B36+Dashboard!B50),$B$21= "AD-HOCRENEWAL",SUM(Dashboard!B22+Dashboard!B50),$B$21= "NEW BUSINESSRENEWAL",SUM(Dashboard!B22+Dashboard!B36))</f>
        <v>80000</v>
      </c>
      <c r="C13" s="6">
        <f>((SUMIFS(Won[[#All],[DEAL SIZE]],Won[[#All],[MONTH]],$A13,Won[[#All],[SALES CHANNEL]],$H$17)+(SUMIFS(Won[[#All],[DEAL SIZE]],Won[[#All],[MONTH]],$A13,Won[[#All],[SALES CHANNEL]],$O$17)+(SUMIFS(Won[[#All],[DEAL SIZE]],Won[[#All],[MONTH]],$A13,Won[[#All],[SALES CHANNEL]],$V$17)))))</f>
        <v>0</v>
      </c>
      <c r="D13" s="14">
        <f>IFERROR(TARGET_TOTAL[[#This Row],[SALES]]/TARGET_TOTAL[[#This Row],[TARGET]],"")</f>
        <v>0</v>
      </c>
      <c r="E13" s="14">
        <f>1-TARGET_TOTAL[[#This Row],[QUOTA %]]</f>
        <v>1</v>
      </c>
      <c r="H13" t="s">
        <v>239</v>
      </c>
      <c r="I13" s="6">
        <f>Dashboard!$B22</f>
        <v>30000</v>
      </c>
      <c r="J13" s="6">
        <f>((SUMIFS(Won[[#All],[DEAL SIZE]],Won[[#All],[MONTH]],$H13,Won[[#All],[SALES CHANNEL]],$H$17)))</f>
        <v>0</v>
      </c>
      <c r="K13" s="7">
        <f>IFERROR(TARGET_RENEWAL[[#This Row],[SALES]]/TARGET_RENEWAL[[#This Row],[TARGET]],"")</f>
        <v>0</v>
      </c>
      <c r="L13" s="13">
        <f>1-TARGET_RENEWAL[[#This Row],[QUOTA %]]</f>
        <v>1</v>
      </c>
      <c r="O13" t="s">
        <v>239</v>
      </c>
      <c r="P13" s="6">
        <f>Dashboard!$B36</f>
        <v>20000</v>
      </c>
      <c r="Q13" s="6">
        <f>((SUMIFS(Won[[#All],[DEAL SIZE]],Won[[#All],[MONTH]],$O13,Won[[#All],[SALES CHANNEL]],$O$17)))</f>
        <v>0</v>
      </c>
      <c r="R13" s="7">
        <f>IFERROR(TARGET_NEWBUSINESS[[#This Row],[SALES]]/TARGET_NEWBUSINESS[[#This Row],[TARGET]],"")</f>
        <v>0</v>
      </c>
      <c r="S13" s="7">
        <f>1-TARGET_NEWBUSINESS[[#This Row],[QUOTA %]]</f>
        <v>1</v>
      </c>
      <c r="V13" t="s">
        <v>239</v>
      </c>
      <c r="W13" s="6">
        <f>Dashboard!$B50</f>
        <v>30000</v>
      </c>
      <c r="X13" s="6">
        <f>((SUMIFS(Won[[#All],[DEAL SIZE]],Won[[#All],[MONTH]],$V13,Won[[#All],[SALES CHANNEL]],$V$17)))</f>
        <v>0</v>
      </c>
      <c r="Y13" s="7">
        <f>IFERROR(TARGET_ADHOC[[#This Row],[SALES]]/TARGET_ADHOC[[#This Row],[TARGET]],"")</f>
        <v>0</v>
      </c>
      <c r="Z13" s="7">
        <f>1-TARGET_ADHOC[[#This Row],[QUOTA %]]</f>
        <v>1</v>
      </c>
      <c r="AC13" s="17" t="s">
        <v>288</v>
      </c>
      <c r="AD13" s="6">
        <v>6000</v>
      </c>
      <c r="AF13" s="17" t="s">
        <v>87</v>
      </c>
      <c r="AG13" s="6">
        <v>37784</v>
      </c>
    </row>
    <row r="14" spans="1:33" x14ac:dyDescent="0.3">
      <c r="A14" t="s">
        <v>256</v>
      </c>
      <c r="B14" s="6" cm="1">
        <f t="array" ref="B14">_xlfn.IFS($B$21= "AD-HOCNEW BUSINESSRENEWAL",SUM(Dashboard!B23+Dashboard!B37+Dashboard!B51),$B$21="RENEWAL",Dashboard!B23,$B$21="AD-HOC",Dashboard!B51,$B$21="NEW BUSINESS",Dashboard!B37,$B$21= "AD-HOCNEW BUSINESS",SUM(Dashboard!B37+Dashboard!B51),$B$21= "AD-HOCRENEWAL",SUM(Dashboard!B23+Dashboard!B51),$B$21= "NEW BUSINESSRENEWAL",SUM(Dashboard!B23+Dashboard!B37))</f>
        <v>80000</v>
      </c>
      <c r="C14" s="6">
        <f>((SUMIFS(Won[[#All],[DEAL SIZE]],Won[[#All],[MONTH]],$A14,Won[[#All],[SALES CHANNEL]],$H$17)+(SUMIFS(Won[[#All],[DEAL SIZE]],Won[[#All],[MONTH]],$A14,Won[[#All],[SALES CHANNEL]],$O$17)+(SUMIFS(Won[[#All],[DEAL SIZE]],Won[[#All],[MONTH]],$A14,Won[[#All],[SALES CHANNEL]],$V$17)))))</f>
        <v>0</v>
      </c>
      <c r="D14" s="14">
        <f>IFERROR(TARGET_TOTAL[[#This Row],[SALES]]/TARGET_TOTAL[[#This Row],[TARGET]],"")</f>
        <v>0</v>
      </c>
      <c r="E14" s="14">
        <f>1-TARGET_TOTAL[[#This Row],[QUOTA %]]</f>
        <v>1</v>
      </c>
      <c r="H14" t="s">
        <v>256</v>
      </c>
      <c r="I14" s="6">
        <f>Dashboard!$B23</f>
        <v>30000</v>
      </c>
      <c r="J14" s="6">
        <f>((SUMIFS(Won[[#All],[DEAL SIZE]],Won[[#All],[MONTH]],$H14,Won[[#All],[SALES CHANNEL]],$H$17)))</f>
        <v>0</v>
      </c>
      <c r="K14" s="7">
        <f>IFERROR(TARGET_RENEWAL[[#This Row],[SALES]]/TARGET_RENEWAL[[#This Row],[TARGET]],"")</f>
        <v>0</v>
      </c>
      <c r="L14" s="13">
        <f>1-TARGET_RENEWAL[[#This Row],[QUOTA %]]</f>
        <v>1</v>
      </c>
      <c r="O14" t="s">
        <v>256</v>
      </c>
      <c r="P14" s="6">
        <f>Dashboard!$B37</f>
        <v>20000</v>
      </c>
      <c r="Q14" s="6">
        <f>((SUMIFS(Won[[#All],[DEAL SIZE]],Won[[#All],[MONTH]],$O14,Won[[#All],[SALES CHANNEL]],$O$17)))</f>
        <v>0</v>
      </c>
      <c r="R14" s="7">
        <f>IFERROR(TARGET_NEWBUSINESS[[#This Row],[SALES]]/TARGET_NEWBUSINESS[[#This Row],[TARGET]],"")</f>
        <v>0</v>
      </c>
      <c r="S14" s="7">
        <f>1-TARGET_NEWBUSINESS[[#This Row],[QUOTA %]]</f>
        <v>1</v>
      </c>
      <c r="V14" t="s">
        <v>256</v>
      </c>
      <c r="W14" s="6">
        <f>Dashboard!$B51</f>
        <v>30000</v>
      </c>
      <c r="X14" s="6">
        <f>((SUMIFS(Won[[#All],[DEAL SIZE]],Won[[#All],[MONTH]],$V14,Won[[#All],[SALES CHANNEL]],$V$17)))</f>
        <v>0</v>
      </c>
      <c r="Y14" s="7">
        <f>IFERROR(TARGET_ADHOC[[#This Row],[SALES]]/TARGET_ADHOC[[#This Row],[TARGET]],"")</f>
        <v>0</v>
      </c>
      <c r="Z14" s="7">
        <f>1-TARGET_ADHOC[[#This Row],[QUOTA %]]</f>
        <v>1</v>
      </c>
      <c r="AC14" s="17" t="s">
        <v>265</v>
      </c>
      <c r="AD14" s="6">
        <v>5860.1160000000009</v>
      </c>
      <c r="AF14" s="17" t="s">
        <v>135</v>
      </c>
      <c r="AG14" s="6">
        <v>36464.199999999997</v>
      </c>
    </row>
    <row r="15" spans="1:33" x14ac:dyDescent="0.3">
      <c r="A15" s="18" t="s">
        <v>312</v>
      </c>
      <c r="B15" s="19">
        <f>SUBTOTAL(109,TARGET_TOTAL[TARGET])</f>
        <v>960000</v>
      </c>
      <c r="C15" s="19">
        <f>SUBTOTAL(109,TARGET_TOTAL[SALES])</f>
        <v>2953077.85</v>
      </c>
      <c r="D15" s="18">
        <f>SUBTOTAL(109,TARGET_TOTAL[QUOTA %])</f>
        <v>36.913473124999996</v>
      </c>
      <c r="E15" s="20">
        <f>SUBTOTAL(109,TARGET_TOTAL[REMAINING QUOTA $])</f>
        <v>-24.913473125000003</v>
      </c>
      <c r="H15" t="s">
        <v>312</v>
      </c>
      <c r="I15" s="6">
        <f>SUBTOTAL(109,TARGET_RENEWAL[TARGET])</f>
        <v>360000</v>
      </c>
      <c r="J15" s="6">
        <f>SUBTOTAL(109,TARGET_RENEWAL[SALES])</f>
        <v>785691.23249999993</v>
      </c>
      <c r="K15" s="13"/>
      <c r="L15" s="13"/>
      <c r="O15" t="s">
        <v>312</v>
      </c>
      <c r="P15" s="6">
        <f>SUBTOTAL(109,TARGET_NEWBUSINESS[TARGET])</f>
        <v>240000</v>
      </c>
      <c r="Q15" s="6">
        <f>SUBTOTAL(109,TARGET_NEWBUSINESS[SALES])</f>
        <v>1204240.5925</v>
      </c>
      <c r="R15" s="13"/>
      <c r="S15" s="13"/>
      <c r="V15" t="s">
        <v>312</v>
      </c>
      <c r="W15" s="6">
        <f>SUBTOTAL(109,TARGET_ADHOC[TARGET])</f>
        <v>360000</v>
      </c>
      <c r="X15" s="6">
        <f>SUBTOTAL(109,TARGET_ADHOC[SALES])</f>
        <v>963146.02500000002</v>
      </c>
      <c r="Y15" s="13"/>
      <c r="Z15" s="13"/>
      <c r="AC15" s="17" t="s">
        <v>251</v>
      </c>
      <c r="AD15" s="6">
        <v>5776.3400000000011</v>
      </c>
      <c r="AF15" s="17" t="s">
        <v>49</v>
      </c>
      <c r="AG15" s="6">
        <v>36416</v>
      </c>
    </row>
    <row r="16" spans="1:33" x14ac:dyDescent="0.3">
      <c r="AC16" s="17" t="s">
        <v>224</v>
      </c>
      <c r="AD16" s="6">
        <v>5776.3400000000011</v>
      </c>
      <c r="AF16" s="17" t="s">
        <v>47</v>
      </c>
      <c r="AG16" s="6">
        <v>35508</v>
      </c>
    </row>
    <row r="17" spans="1:33" x14ac:dyDescent="0.3">
      <c r="A17" s="8" t="s">
        <v>317</v>
      </c>
      <c r="C17" s="6">
        <f>TARGET_TOTAL[[#Totals],[TARGET]]</f>
        <v>960000</v>
      </c>
      <c r="D17" s="6">
        <f>TARGET_TOTAL[[#Totals],[SALES]]</f>
        <v>2953077.85</v>
      </c>
      <c r="E17" s="7">
        <f>D17/C17</f>
        <v>3.0761227604166668</v>
      </c>
      <c r="H17" s="8" t="s">
        <v>14</v>
      </c>
      <c r="I17" s="6">
        <f>TARGET_RENEWAL[[#Totals],[TARGET]]</f>
        <v>360000</v>
      </c>
      <c r="J17" s="6">
        <f>TARGET_RENEWAL[[#Totals],[SALES]]</f>
        <v>785691.23249999993</v>
      </c>
      <c r="K17" s="13">
        <f>IF((J17/I17)&gt;1,1,(IFERROR(J17/I17,"")))</f>
        <v>1</v>
      </c>
      <c r="L17" s="13">
        <f>IFERROR(1-K17,"")</f>
        <v>0</v>
      </c>
      <c r="O17" s="8" t="s">
        <v>28</v>
      </c>
      <c r="P17" s="21">
        <f>TARGET_NEWBUSINESS[[#Totals],[TARGET]]</f>
        <v>240000</v>
      </c>
      <c r="Q17" s="6">
        <f>TARGET_NEWBUSINESS[[#Totals],[SALES]]</f>
        <v>1204240.5925</v>
      </c>
      <c r="R17" s="7">
        <f>IF((Q17/P17)&gt;1,1,(IFERROR(Q17/P17,"")))</f>
        <v>1</v>
      </c>
      <c r="S17" s="13">
        <f>IFERROR(1-R17,"")</f>
        <v>0</v>
      </c>
      <c r="V17" s="8" t="s">
        <v>36</v>
      </c>
      <c r="W17" s="21">
        <f>TARGET_ADHOC[[#Totals],[TARGET]]</f>
        <v>360000</v>
      </c>
      <c r="X17" s="6">
        <f>TARGET_ADHOC[[#Totals],[SALES]]</f>
        <v>963146.02500000002</v>
      </c>
      <c r="Y17" s="13">
        <f>IF((X17/W17)&gt;1,1,(IFERROR(X17/W17,"")))</f>
        <v>1</v>
      </c>
      <c r="Z17" s="13">
        <f>IFERROR(1-Y17,"")</f>
        <v>0</v>
      </c>
      <c r="AC17" s="17" t="s">
        <v>252</v>
      </c>
      <c r="AD17" s="6">
        <v>5769.6080000000002</v>
      </c>
      <c r="AF17" s="17" t="s">
        <v>94</v>
      </c>
      <c r="AG17" s="6">
        <v>33446</v>
      </c>
    </row>
    <row r="18" spans="1:33" x14ac:dyDescent="0.3">
      <c r="K18" s="7">
        <f>IFERROR(J17/I17,"")</f>
        <v>2.1824756458333332</v>
      </c>
      <c r="R18" s="7">
        <f>IFERROR(Q17/P17,"")</f>
        <v>5.0176691354166669</v>
      </c>
      <c r="Y18" s="7">
        <f>IFERROR(X17/W17,"")</f>
        <v>2.6754056250000002</v>
      </c>
      <c r="AC18" s="17" t="s">
        <v>266</v>
      </c>
      <c r="AD18" s="6">
        <v>5769.6080000000002</v>
      </c>
      <c r="AF18" s="17" t="s">
        <v>16</v>
      </c>
      <c r="AG18" s="6">
        <v>33098</v>
      </c>
    </row>
    <row r="19" spans="1:33" x14ac:dyDescent="0.3">
      <c r="A19" s="8" t="s">
        <v>313</v>
      </c>
      <c r="B19" s="8"/>
      <c r="C19" s="8"/>
      <c r="D19" s="8"/>
      <c r="V19" s="8" t="s">
        <v>331</v>
      </c>
      <c r="W19" s="8" t="s">
        <v>323</v>
      </c>
      <c r="X19" s="8" t="s">
        <v>324</v>
      </c>
      <c r="Z19" s="8" t="s">
        <v>332</v>
      </c>
      <c r="AC19" s="17" t="s">
        <v>234</v>
      </c>
      <c r="AD19" s="6">
        <v>5727.4140000000007</v>
      </c>
      <c r="AF19" s="17" t="s">
        <v>66</v>
      </c>
      <c r="AG19" s="6">
        <v>32902</v>
      </c>
    </row>
    <row r="20" spans="1:33" x14ac:dyDescent="0.3">
      <c r="A20" s="17" t="s">
        <v>36</v>
      </c>
      <c r="H20" s="8" t="s">
        <v>319</v>
      </c>
      <c r="I20" s="8"/>
      <c r="J20" s="8"/>
      <c r="O20" s="8" t="s">
        <v>327</v>
      </c>
      <c r="P20" s="8"/>
      <c r="R20" s="8" t="s">
        <v>328</v>
      </c>
      <c r="S20" s="8"/>
      <c r="V20" s="17" t="s">
        <v>218</v>
      </c>
      <c r="W20" s="6" cm="1">
        <f t="array" ref="W20:W31">SUMIFS(Won[[#All],[DEAL SIZE]],Won[[#All],[MONTH]],V20:V31)</f>
        <v>61362.62</v>
      </c>
      <c r="X20" cm="1">
        <f t="array" ref="X20:X31">COUNTIFS(Won[[#All],[MONTH]],V20:V31)</f>
        <v>4</v>
      </c>
      <c r="Z20" t="str">
        <f>IF($AC$3="(blank)","",AC3)</f>
        <v xml:space="preserve">Sea Wealth </v>
      </c>
      <c r="AC20" s="17" t="s">
        <v>245</v>
      </c>
      <c r="AD20" s="6">
        <v>5121.0599999999995</v>
      </c>
      <c r="AF20" s="17" t="s">
        <v>43</v>
      </c>
      <c r="AG20" s="6">
        <v>32450</v>
      </c>
    </row>
    <row r="21" spans="1:33" x14ac:dyDescent="0.3">
      <c r="A21" s="17" t="s">
        <v>28</v>
      </c>
      <c r="B21" t="str">
        <f>_xlfn.CONCAT(A20:A22)</f>
        <v>AD-HOCNEW BUSINESSRENEWAL</v>
      </c>
      <c r="H21" s="16" t="s">
        <v>314</v>
      </c>
      <c r="I21" t="s">
        <v>320</v>
      </c>
      <c r="O21" s="16" t="s">
        <v>314</v>
      </c>
      <c r="P21" t="s">
        <v>320</v>
      </c>
      <c r="R21" s="16" t="s">
        <v>314</v>
      </c>
      <c r="S21" t="s">
        <v>330</v>
      </c>
      <c r="V21" s="17" t="s">
        <v>239</v>
      </c>
      <c r="W21" s="6">
        <v>0</v>
      </c>
      <c r="X21">
        <v>0</v>
      </c>
      <c r="Z21" t="str">
        <f>IF($AC$4="Grand Total","",AC4)</f>
        <v>Over Twain Healthcare</v>
      </c>
      <c r="AC21" s="17" t="s">
        <v>249</v>
      </c>
      <c r="AD21" s="6">
        <v>5110.6640000000007</v>
      </c>
      <c r="AF21" s="17" t="s">
        <v>101</v>
      </c>
      <c r="AG21" s="6">
        <v>32396</v>
      </c>
    </row>
    <row r="22" spans="1:33" x14ac:dyDescent="0.3">
      <c r="A22" s="17" t="s">
        <v>14</v>
      </c>
      <c r="H22" s="17" t="s">
        <v>36</v>
      </c>
      <c r="I22" s="6">
        <v>37672.224999999999</v>
      </c>
      <c r="O22" s="17" t="s">
        <v>218</v>
      </c>
      <c r="P22" s="6">
        <v>54597.010999999999</v>
      </c>
      <c r="R22" s="17" t="s">
        <v>11</v>
      </c>
      <c r="S22" s="6">
        <v>93461</v>
      </c>
      <c r="V22" s="17" t="s">
        <v>256</v>
      </c>
      <c r="W22" s="6">
        <v>0</v>
      </c>
      <c r="X22">
        <v>0</v>
      </c>
      <c r="Z22" t="str">
        <f>IF(OR($AC5="Grand Total",$AC5=""),"",$AC5)</f>
        <v>Principal Vets</v>
      </c>
      <c r="AC22" s="17" t="s">
        <v>247</v>
      </c>
      <c r="AD22" s="6">
        <v>4958.402000000001</v>
      </c>
      <c r="AF22" s="17" t="s">
        <v>34</v>
      </c>
      <c r="AG22" s="6">
        <v>32396</v>
      </c>
    </row>
    <row r="23" spans="1:33" x14ac:dyDescent="0.3">
      <c r="E23" s="8" t="s">
        <v>335</v>
      </c>
      <c r="H23" s="17" t="s">
        <v>28</v>
      </c>
      <c r="I23" s="6">
        <v>74189.805250000005</v>
      </c>
      <c r="O23" s="17" t="s">
        <v>239</v>
      </c>
      <c r="P23" s="6">
        <v>57555.077750000004</v>
      </c>
      <c r="R23" s="17" t="s">
        <v>55</v>
      </c>
      <c r="S23" s="6">
        <v>20828</v>
      </c>
      <c r="W23" s="6">
        <v>0</v>
      </c>
      <c r="X23">
        <v>0</v>
      </c>
      <c r="Z23" t="str">
        <f t="shared" ref="Z23:Z24" si="0">IF(OR($AC6="Grand Total",$AC6=""),"",$AC6)</f>
        <v>Influence Care Inc.</v>
      </c>
      <c r="AC23" s="17" t="s">
        <v>289</v>
      </c>
      <c r="AD23" s="6">
        <v>4800</v>
      </c>
      <c r="AF23" s="17" t="s">
        <v>88</v>
      </c>
      <c r="AG23" s="6">
        <v>32396</v>
      </c>
    </row>
    <row r="24" spans="1:33" x14ac:dyDescent="0.3">
      <c r="A24" s="8" t="s">
        <v>316</v>
      </c>
      <c r="B24" s="5">
        <f ca="1">TODAY()</f>
        <v>45182</v>
      </c>
      <c r="C24" t="str">
        <f ca="1">UPPER(TEXT(B24,"MMMM"))</f>
        <v>SEPTEMBER</v>
      </c>
      <c r="E24" t="s">
        <v>336</v>
      </c>
      <c r="F24" s="6">
        <f>SUMIFS(Won[[#All],[COMMISSION]],Won[[#All],[STATUS]], "PAID")</f>
        <v>3309.8</v>
      </c>
      <c r="H24" s="17" t="s">
        <v>14</v>
      </c>
      <c r="I24" s="6">
        <v>104915.51650000001</v>
      </c>
      <c r="O24" s="17" t="s">
        <v>256</v>
      </c>
      <c r="P24" s="6">
        <v>104625.45800000001</v>
      </c>
      <c r="R24" s="17" t="s">
        <v>99</v>
      </c>
      <c r="S24" s="6">
        <v>31933</v>
      </c>
      <c r="W24" s="6">
        <v>0</v>
      </c>
      <c r="X24">
        <v>0</v>
      </c>
      <c r="Z24" t="str">
        <f t="shared" si="0"/>
        <v>Pest Scoon LLC</v>
      </c>
      <c r="AC24" s="17" t="s">
        <v>267</v>
      </c>
      <c r="AD24" s="6">
        <v>4762.0520000000006</v>
      </c>
      <c r="AF24" s="17" t="s">
        <v>81</v>
      </c>
      <c r="AG24" s="6">
        <v>31644</v>
      </c>
    </row>
    <row r="25" spans="1:33" x14ac:dyDescent="0.3">
      <c r="A25" s="17"/>
      <c r="E25" t="s">
        <v>337</v>
      </c>
      <c r="F25" s="6">
        <f>SUMIFS(Won[[#All],[COMMISSION]],Won[[#All],[STATUS]], "PENDING")</f>
        <v>2573.3000000000002</v>
      </c>
      <c r="H25" s="17" t="s">
        <v>315</v>
      </c>
      <c r="I25" s="6">
        <v>216777.54675000004</v>
      </c>
      <c r="O25" s="17" t="s">
        <v>315</v>
      </c>
      <c r="P25" s="6">
        <v>216777.54675000001</v>
      </c>
      <c r="R25" s="17" t="s">
        <v>117</v>
      </c>
      <c r="S25" s="6">
        <v>34723.35</v>
      </c>
      <c r="W25" s="6">
        <v>0</v>
      </c>
      <c r="X25">
        <v>0</v>
      </c>
      <c r="AC25" s="17" t="s">
        <v>260</v>
      </c>
      <c r="AD25" s="6">
        <v>4621.4279999999999</v>
      </c>
      <c r="AF25" s="17" t="s">
        <v>27</v>
      </c>
      <c r="AG25" s="6">
        <v>30688</v>
      </c>
    </row>
    <row r="26" spans="1:33" x14ac:dyDescent="0.3">
      <c r="A26" s="8" t="s">
        <v>318</v>
      </c>
      <c r="B26" s="8" t="s">
        <v>323</v>
      </c>
      <c r="C26" s="8" t="s">
        <v>324</v>
      </c>
      <c r="E26" s="23" t="s">
        <v>338</v>
      </c>
      <c r="F26" s="6">
        <f>SUMIFS(Won[[#All],[COMMISSION]],Won[[#All],[STATUS]], "CREDIT HOLD")</f>
        <v>614.25</v>
      </c>
      <c r="R26" s="17" t="s">
        <v>134</v>
      </c>
      <c r="S26" s="6">
        <v>76248.66</v>
      </c>
      <c r="W26" s="6">
        <v>0</v>
      </c>
      <c r="X26">
        <v>0</v>
      </c>
      <c r="Z26" s="8" t="s">
        <v>333</v>
      </c>
      <c r="AC26" s="17" t="s">
        <v>284</v>
      </c>
      <c r="AD26" s="6">
        <v>4431.4139999999998</v>
      </c>
      <c r="AF26" s="17" t="s">
        <v>122</v>
      </c>
      <c r="AG26" s="6">
        <v>30630.22</v>
      </c>
    </row>
    <row r="27" spans="1:33" x14ac:dyDescent="0.3">
      <c r="A27" t="str">
        <f ca="1">C24&amp;" TARGET"</f>
        <v>SEPTEMBER TARGET</v>
      </c>
      <c r="B27" s="6" cm="1">
        <f t="array" aca="1" ref="B27" ca="1">_xlfn.XLOOKUP(C24,TARGET_TOTAL[[#All],[MONTH]],TARGET_TOTAL[[#All],[TARGET]])</f>
        <v>80000</v>
      </c>
      <c r="H27" s="8" t="s">
        <v>321</v>
      </c>
      <c r="I27" s="6">
        <f>GETPIVOTDATA("WEIGHTED FORECAST",$H$21)</f>
        <v>216777.54675000004</v>
      </c>
      <c r="R27" s="17" t="s">
        <v>193</v>
      </c>
      <c r="S27" s="6">
        <v>30000</v>
      </c>
      <c r="W27" s="6">
        <v>0</v>
      </c>
      <c r="X27">
        <v>0</v>
      </c>
      <c r="Z27" t="str">
        <f>IF($AF$3="(blank)","",AF3)</f>
        <v>Hill Count Interiors</v>
      </c>
      <c r="AC27" s="17" t="s">
        <v>255</v>
      </c>
      <c r="AD27" s="6">
        <v>4219.0040000000008</v>
      </c>
      <c r="AF27" s="17" t="s">
        <v>25</v>
      </c>
      <c r="AG27" s="6">
        <v>30000</v>
      </c>
    </row>
    <row r="28" spans="1:33" x14ac:dyDescent="0.3">
      <c r="A28" t="str">
        <f ca="1">C24&amp;" WINS"</f>
        <v>SEPTEMBER WINS</v>
      </c>
      <c r="B28" s="6">
        <f ca="1">SUMIFS(Won[[#All],[DEAL SIZE]],Won[[#All],[MONTH]],$C$24)</f>
        <v>146317.18000000002</v>
      </c>
      <c r="C28">
        <f ca="1">COUNTIFS(Won[[#All],[MONTH]],$C$24)</f>
        <v>11</v>
      </c>
      <c r="R28" s="17" t="s">
        <v>329</v>
      </c>
      <c r="S28" s="6">
        <v>314145.52249999996</v>
      </c>
      <c r="W28" s="6">
        <v>0</v>
      </c>
      <c r="X28">
        <v>0</v>
      </c>
      <c r="Z28" t="str">
        <f>IF($AF$4="Grand Total","",AF4)</f>
        <v>Rivera Law Firm</v>
      </c>
      <c r="AC28" s="17" t="s">
        <v>276</v>
      </c>
      <c r="AD28" s="6">
        <v>3826.7439999999997</v>
      </c>
      <c r="AF28" s="17" t="s">
        <v>12</v>
      </c>
      <c r="AG28" s="6">
        <v>29930</v>
      </c>
    </row>
    <row r="29" spans="1:33" x14ac:dyDescent="0.3">
      <c r="A29" t="str">
        <f ca="1">C24&amp;" PIPELINE"</f>
        <v>SEPTEMBER PIPELINE</v>
      </c>
      <c r="B29" s="6">
        <f ca="1">SUMIFS(Pipe[[#All],[DEAL SIZE]],Pipe[[#All],[MONTH]],$C$24)</f>
        <v>0</v>
      </c>
      <c r="C29">
        <f ca="1">COUNTIFS(Pipe[[#All],[MONTH]],$C$24)</f>
        <v>0</v>
      </c>
      <c r="H29" s="8" t="s">
        <v>325</v>
      </c>
      <c r="I29" s="8"/>
      <c r="R29" s="17" t="s">
        <v>80</v>
      </c>
      <c r="S29" s="6">
        <v>29008</v>
      </c>
      <c r="W29" s="6">
        <v>0</v>
      </c>
      <c r="X29">
        <v>0</v>
      </c>
      <c r="Z29" t="str">
        <f>IF(OR($AF5="Grand Total",$AF5=""),"",$AF5)</f>
        <v>Law Richardson &amp; Andrew</v>
      </c>
      <c r="AC29" s="17" t="s">
        <v>270</v>
      </c>
      <c r="AD29" s="6">
        <v>3581.3339999999998</v>
      </c>
      <c r="AF29" s="17" t="s">
        <v>183</v>
      </c>
      <c r="AG29" s="6">
        <v>29323.91</v>
      </c>
    </row>
    <row r="30" spans="1:33" x14ac:dyDescent="0.3">
      <c r="A30" t="s">
        <v>322</v>
      </c>
      <c r="B30" s="6">
        <f>SUM(Pipe[[#All],[DEAL SIZE]])</f>
        <v>658362.54500000027</v>
      </c>
      <c r="C30">
        <f>COUNT(Pipe[[#All],[DEAL SIZE]])</f>
        <v>57</v>
      </c>
      <c r="H30" s="16" t="s">
        <v>314</v>
      </c>
      <c r="I30" t="s">
        <v>320</v>
      </c>
      <c r="J30" t="s">
        <v>326</v>
      </c>
      <c r="L30" s="8" t="s">
        <v>323</v>
      </c>
      <c r="M30" s="8" t="s">
        <v>324</v>
      </c>
      <c r="R30" s="17" t="s">
        <v>163</v>
      </c>
      <c r="S30" s="6">
        <v>67118.11</v>
      </c>
      <c r="W30" s="6">
        <v>0</v>
      </c>
      <c r="X30">
        <v>0</v>
      </c>
      <c r="Z30" t="str">
        <f t="shared" ref="Z30:Z31" si="1">IF(OR($AF6="Grand Total",$AF6=""),"",$AF6)</f>
        <v>Community Wellness</v>
      </c>
      <c r="AC30" s="17" t="s">
        <v>244</v>
      </c>
      <c r="AD30" s="6">
        <v>3298.59</v>
      </c>
      <c r="AF30" s="17" t="s">
        <v>111</v>
      </c>
      <c r="AG30" s="6">
        <v>28429.1</v>
      </c>
    </row>
    <row r="31" spans="1:33" x14ac:dyDescent="0.3">
      <c r="H31" s="17" t="s">
        <v>208</v>
      </c>
      <c r="I31" s="6">
        <v>25133.102500000005</v>
      </c>
      <c r="J31">
        <v>24</v>
      </c>
      <c r="K31" t="s">
        <v>208</v>
      </c>
      <c r="L31" s="6">
        <f>IFERROR((GETPIVOTDATA("Sum of WEIGHTED FORECAST",$H$30,"STAGE","IDENTIFIED")),0)</f>
        <v>25133.102500000005</v>
      </c>
      <c r="M31">
        <f>IFERROR(GETPIVOTDATA("Count of WEIGHTED FORECAST2",$H$30,"STAGE","IDENTIFIED"),0)</f>
        <v>24</v>
      </c>
      <c r="R31" s="17" t="s">
        <v>179</v>
      </c>
      <c r="S31" s="6">
        <v>88225.59</v>
      </c>
      <c r="W31" s="6">
        <v>0</v>
      </c>
      <c r="X31">
        <v>0</v>
      </c>
      <c r="Z31" t="str">
        <f t="shared" si="1"/>
        <v>First Environment</v>
      </c>
      <c r="AC31" s="17" t="s">
        <v>238</v>
      </c>
      <c r="AD31" s="6">
        <v>2888.6860000000001</v>
      </c>
      <c r="AF31" s="17" t="s">
        <v>119</v>
      </c>
      <c r="AG31" s="6">
        <v>28133.3</v>
      </c>
    </row>
    <row r="32" spans="1:33" x14ac:dyDescent="0.3">
      <c r="A32" s="8" t="s">
        <v>346</v>
      </c>
      <c r="B32" s="8"/>
      <c r="C32" s="8"/>
      <c r="D32" s="8"/>
      <c r="E32" s="8"/>
      <c r="H32" s="17" t="s">
        <v>205</v>
      </c>
      <c r="I32" s="6">
        <v>61782.506250000006</v>
      </c>
      <c r="J32">
        <v>6</v>
      </c>
      <c r="K32" t="s">
        <v>207</v>
      </c>
      <c r="L32" s="6">
        <f>IFERROR((GETPIVOTDATA("Sum of WEIGHTED FORECAST",$H$30,"STAGE","QUALIFIED")),0)</f>
        <v>129861.93800000002</v>
      </c>
      <c r="M32">
        <f>IFERROR(GETPIVOTDATA("Count of WEIGHTED FORECAST2",$H$30,"STAGE","QUALIFIED"),0)</f>
        <v>27</v>
      </c>
      <c r="R32" s="17" t="s">
        <v>315</v>
      </c>
      <c r="S32" s="6">
        <v>785691.23249999993</v>
      </c>
      <c r="AC32" s="17" t="s">
        <v>272</v>
      </c>
      <c r="AD32" s="6">
        <v>2879.5120000000006</v>
      </c>
      <c r="AF32" s="17" t="s">
        <v>129</v>
      </c>
      <c r="AG32" s="6">
        <v>27536.6</v>
      </c>
    </row>
    <row r="33" spans="1:33" x14ac:dyDescent="0.3">
      <c r="A33">
        <f>COUNTA(Pipeline!C4:C999)</f>
        <v>58</v>
      </c>
      <c r="B33">
        <f>COUNTA(Pipeline!D4:D999)</f>
        <v>57</v>
      </c>
      <c r="C33">
        <f>COUNTA(Pipeline!E4:E999)</f>
        <v>57</v>
      </c>
      <c r="D33">
        <f>COUNTA(Pipeline!H4:H999)</f>
        <v>57</v>
      </c>
      <c r="E33">
        <f>COUNTA(Pipeline!I4:I999)</f>
        <v>57</v>
      </c>
      <c r="H33" s="17" t="s">
        <v>207</v>
      </c>
      <c r="I33" s="6">
        <v>129861.93800000002</v>
      </c>
      <c r="J33">
        <v>27</v>
      </c>
      <c r="K33" t="s">
        <v>205</v>
      </c>
      <c r="L33" s="6">
        <f>IFERROR((GETPIVOTDATA("Sum of WEIGHTED FORECAST",$H$30,"STAGE","PROPOSAL")),0)</f>
        <v>61782.506250000006</v>
      </c>
      <c r="M33">
        <f>IFERROR(GETPIVOTDATA("Count of WEIGHTED FORECAST2",$H$30,"STAGE","PROPOSAL"),0)</f>
        <v>6</v>
      </c>
      <c r="S33" s="6"/>
      <c r="AC33" s="17" t="s">
        <v>291</v>
      </c>
      <c r="AD33" s="6">
        <v>2800</v>
      </c>
      <c r="AF33" s="17" t="s">
        <v>145</v>
      </c>
      <c r="AG33" s="6">
        <v>27203.69</v>
      </c>
    </row>
    <row r="34" spans="1:33" x14ac:dyDescent="0.3">
      <c r="H34" s="17" t="s">
        <v>315</v>
      </c>
      <c r="I34" s="6">
        <v>216777.54675000004</v>
      </c>
      <c r="J34">
        <v>57</v>
      </c>
      <c r="K34" t="s">
        <v>13</v>
      </c>
      <c r="L34" s="6">
        <f>SUM(_xlfn.ANCHORARRAY(W20))</f>
        <v>61362.62</v>
      </c>
      <c r="M34">
        <f>SUM(_xlfn.ANCHORARRAY(X20))</f>
        <v>4</v>
      </c>
      <c r="S34" s="6"/>
      <c r="AC34" s="17" t="s">
        <v>237</v>
      </c>
      <c r="AD34" s="6">
        <v>2312.3519999999999</v>
      </c>
      <c r="AF34" s="17" t="s">
        <v>180</v>
      </c>
      <c r="AG34" s="6">
        <v>26584.21</v>
      </c>
    </row>
    <row r="35" spans="1:33" x14ac:dyDescent="0.3">
      <c r="AC35" s="17" t="s">
        <v>274</v>
      </c>
      <c r="AD35" s="6">
        <v>1779.9740000000002</v>
      </c>
      <c r="AF35" s="17" t="s">
        <v>70</v>
      </c>
      <c r="AG35" s="6">
        <v>26389.199999999997</v>
      </c>
    </row>
    <row r="36" spans="1:33" x14ac:dyDescent="0.3">
      <c r="AC36" s="17" t="s">
        <v>275</v>
      </c>
      <c r="AD36" s="6">
        <v>1562.6210000000001</v>
      </c>
      <c r="AF36" s="17" t="s">
        <v>113</v>
      </c>
      <c r="AG36" s="6">
        <v>26084.799999999999</v>
      </c>
    </row>
    <row r="37" spans="1:33" x14ac:dyDescent="0.3">
      <c r="AC37" s="17" t="s">
        <v>263</v>
      </c>
      <c r="AD37" s="6">
        <v>1482.7005000000001</v>
      </c>
      <c r="AF37" s="17" t="s">
        <v>154</v>
      </c>
      <c r="AG37" s="6">
        <v>25458.05</v>
      </c>
    </row>
    <row r="38" spans="1:33" x14ac:dyDescent="0.3">
      <c r="AC38" s="17" t="s">
        <v>283</v>
      </c>
      <c r="AD38" s="6">
        <v>1310.3800000000001</v>
      </c>
      <c r="AF38" s="17" t="s">
        <v>170</v>
      </c>
      <c r="AG38" s="6">
        <v>25209.05</v>
      </c>
    </row>
    <row r="39" spans="1:33" x14ac:dyDescent="0.3">
      <c r="AC39" s="17" t="s">
        <v>231</v>
      </c>
      <c r="AD39" s="6">
        <v>1294.348</v>
      </c>
      <c r="AF39" s="17" t="s">
        <v>105</v>
      </c>
      <c r="AG39" s="6">
        <v>25068.2</v>
      </c>
    </row>
    <row r="40" spans="1:33" x14ac:dyDescent="0.3">
      <c r="AC40" s="17" t="s">
        <v>232</v>
      </c>
      <c r="AD40" s="6">
        <v>1283.2160000000001</v>
      </c>
      <c r="AF40" s="17" t="s">
        <v>118</v>
      </c>
      <c r="AG40" s="6">
        <v>25068.2</v>
      </c>
    </row>
    <row r="41" spans="1:33" x14ac:dyDescent="0.3">
      <c r="AC41" s="17" t="s">
        <v>271</v>
      </c>
      <c r="AD41" s="6">
        <v>1278.6285</v>
      </c>
      <c r="AF41" s="17" t="s">
        <v>18</v>
      </c>
      <c r="AG41" s="6">
        <v>24570</v>
      </c>
    </row>
    <row r="42" spans="1:33" x14ac:dyDescent="0.3">
      <c r="AC42" s="17" t="s">
        <v>261</v>
      </c>
      <c r="AD42" s="6">
        <v>1239.6005000000002</v>
      </c>
      <c r="AF42" s="17" t="s">
        <v>75</v>
      </c>
      <c r="AG42" s="6">
        <v>22378</v>
      </c>
    </row>
    <row r="43" spans="1:33" x14ac:dyDescent="0.3">
      <c r="AC43" s="17" t="s">
        <v>242</v>
      </c>
      <c r="AD43" s="6">
        <v>1223.3315</v>
      </c>
      <c r="AF43" s="17" t="s">
        <v>139</v>
      </c>
      <c r="AG43" s="6">
        <v>21969.599999999999</v>
      </c>
    </row>
    <row r="44" spans="1:33" x14ac:dyDescent="0.3">
      <c r="AC44" s="17" t="s">
        <v>257</v>
      </c>
      <c r="AD44" s="6">
        <v>1223.3315</v>
      </c>
      <c r="AF44" s="17" t="s">
        <v>164</v>
      </c>
      <c r="AG44" s="6">
        <v>21803.31</v>
      </c>
    </row>
    <row r="45" spans="1:33" x14ac:dyDescent="0.3">
      <c r="AC45" s="17" t="s">
        <v>253</v>
      </c>
      <c r="AD45" s="6">
        <v>1190.5130000000001</v>
      </c>
      <c r="AF45" s="17" t="s">
        <v>150</v>
      </c>
      <c r="AG45" s="6">
        <v>21803.307499999999</v>
      </c>
    </row>
    <row r="46" spans="1:33" x14ac:dyDescent="0.3">
      <c r="AC46" s="17" t="s">
        <v>246</v>
      </c>
      <c r="AD46" s="6">
        <v>1155.357</v>
      </c>
      <c r="AF46" s="17" t="s">
        <v>41</v>
      </c>
      <c r="AG46" s="6">
        <v>21659</v>
      </c>
    </row>
    <row r="47" spans="1:33" x14ac:dyDescent="0.3">
      <c r="AC47" s="17" t="s">
        <v>264</v>
      </c>
      <c r="AD47" s="6">
        <v>1110.6640000000002</v>
      </c>
      <c r="AF47" s="17" t="s">
        <v>79</v>
      </c>
      <c r="AG47" s="6">
        <v>21536</v>
      </c>
    </row>
    <row r="48" spans="1:33" x14ac:dyDescent="0.3">
      <c r="AC48" s="17" t="s">
        <v>280</v>
      </c>
      <c r="AD48" s="6">
        <v>1087.9930000000002</v>
      </c>
      <c r="AF48" s="17" t="s">
        <v>19</v>
      </c>
      <c r="AG48" s="6">
        <v>21536</v>
      </c>
    </row>
    <row r="49" spans="29:33" x14ac:dyDescent="0.3">
      <c r="AC49" s="17" t="s">
        <v>240</v>
      </c>
      <c r="AD49" s="6">
        <v>1054.7510000000002</v>
      </c>
      <c r="AF49" s="17" t="s">
        <v>120</v>
      </c>
      <c r="AG49" s="6">
        <v>20884.5</v>
      </c>
    </row>
    <row r="50" spans="29:33" x14ac:dyDescent="0.3">
      <c r="AC50" s="17" t="s">
        <v>281</v>
      </c>
      <c r="AD50" s="6">
        <v>970.34799999999996</v>
      </c>
      <c r="AF50" s="17" t="s">
        <v>153</v>
      </c>
      <c r="AG50" s="6">
        <v>20845.490000000002</v>
      </c>
    </row>
    <row r="51" spans="29:33" x14ac:dyDescent="0.3">
      <c r="AC51" s="17" t="s">
        <v>282</v>
      </c>
      <c r="AD51" s="6">
        <v>959.21600000000001</v>
      </c>
      <c r="AF51" s="17" t="s">
        <v>226</v>
      </c>
      <c r="AG51" s="6">
        <v>20810.514999999999</v>
      </c>
    </row>
    <row r="52" spans="29:33" x14ac:dyDescent="0.3">
      <c r="AC52" s="17" t="s">
        <v>277</v>
      </c>
      <c r="AD52" s="6">
        <v>884.32800000000009</v>
      </c>
      <c r="AF52" s="17" t="s">
        <v>64</v>
      </c>
      <c r="AG52" s="6">
        <v>20248</v>
      </c>
    </row>
    <row r="53" spans="29:33" x14ac:dyDescent="0.3">
      <c r="AC53" s="17" t="s">
        <v>258</v>
      </c>
      <c r="AD53" s="6">
        <v>824.64750000000004</v>
      </c>
      <c r="AF53" s="17" t="s">
        <v>169</v>
      </c>
      <c r="AG53" s="6">
        <v>20215.72</v>
      </c>
    </row>
    <row r="54" spans="29:33" x14ac:dyDescent="0.3">
      <c r="AC54" s="17" t="s">
        <v>259</v>
      </c>
      <c r="AD54" s="6">
        <v>682.80799999999999</v>
      </c>
      <c r="AF54" s="17" t="s">
        <v>219</v>
      </c>
      <c r="AG54" s="6">
        <v>20055.310000000001</v>
      </c>
    </row>
    <row r="55" spans="29:33" x14ac:dyDescent="0.3">
      <c r="AC55" s="17" t="s">
        <v>279</v>
      </c>
      <c r="AD55" s="6">
        <v>664.34450000000004</v>
      </c>
      <c r="AF55" s="17" t="s">
        <v>31</v>
      </c>
      <c r="AG55" s="6">
        <v>20000</v>
      </c>
    </row>
    <row r="56" spans="29:33" x14ac:dyDescent="0.3">
      <c r="AC56" s="17" t="s">
        <v>254</v>
      </c>
      <c r="AD56" s="6">
        <v>569.4860000000001</v>
      </c>
      <c r="AF56" s="17" t="s">
        <v>162</v>
      </c>
      <c r="AG56" s="6">
        <v>19427.86</v>
      </c>
    </row>
    <row r="57" spans="29:33" x14ac:dyDescent="0.3">
      <c r="AC57" s="17" t="s">
        <v>268</v>
      </c>
      <c r="AD57" s="6">
        <v>569.4860000000001</v>
      </c>
      <c r="AF57" s="17" t="s">
        <v>95</v>
      </c>
      <c r="AG57" s="6">
        <v>19323</v>
      </c>
    </row>
    <row r="58" spans="29:33" x14ac:dyDescent="0.3">
      <c r="AC58" s="17" t="s">
        <v>206</v>
      </c>
      <c r="AD58" s="6">
        <v>400.33900000000006</v>
      </c>
      <c r="AF58" s="17" t="s">
        <v>83</v>
      </c>
      <c r="AG58" s="6">
        <v>19323</v>
      </c>
    </row>
    <row r="59" spans="29:33" x14ac:dyDescent="0.3">
      <c r="AC59" s="17" t="s">
        <v>315</v>
      </c>
      <c r="AD59" s="6">
        <v>216777.54675000001</v>
      </c>
      <c r="AF59" s="17" t="s">
        <v>56</v>
      </c>
      <c r="AG59" s="6">
        <v>19278</v>
      </c>
    </row>
    <row r="60" spans="29:33" x14ac:dyDescent="0.3">
      <c r="AD60"/>
      <c r="AF60" s="17" t="s">
        <v>29</v>
      </c>
      <c r="AG60" s="6">
        <v>19134</v>
      </c>
    </row>
    <row r="61" spans="29:33" x14ac:dyDescent="0.3">
      <c r="AD61"/>
      <c r="AF61" s="17" t="s">
        <v>85</v>
      </c>
      <c r="AG61" s="6">
        <v>19134</v>
      </c>
    </row>
    <row r="62" spans="29:33" x14ac:dyDescent="0.3">
      <c r="AD62"/>
      <c r="AF62" s="17" t="s">
        <v>35</v>
      </c>
      <c r="AG62" s="6">
        <v>19112</v>
      </c>
    </row>
    <row r="63" spans="29:33" x14ac:dyDescent="0.3">
      <c r="AD63"/>
      <c r="AF63" s="17" t="s">
        <v>65</v>
      </c>
      <c r="AG63" s="6">
        <v>19104</v>
      </c>
    </row>
    <row r="64" spans="29:33" x14ac:dyDescent="0.3">
      <c r="AD64"/>
      <c r="AF64" s="17" t="s">
        <v>86</v>
      </c>
      <c r="AG64" s="6">
        <v>18910</v>
      </c>
    </row>
    <row r="65" spans="30:33" x14ac:dyDescent="0.3">
      <c r="AD65"/>
      <c r="AF65" s="17" t="s">
        <v>98</v>
      </c>
      <c r="AG65" s="6">
        <v>18910</v>
      </c>
    </row>
    <row r="66" spans="30:33" x14ac:dyDescent="0.3">
      <c r="AD66"/>
      <c r="AF66" s="17" t="s">
        <v>100</v>
      </c>
      <c r="AG66" s="6">
        <v>18892</v>
      </c>
    </row>
    <row r="67" spans="30:33" x14ac:dyDescent="0.3">
      <c r="AD67"/>
      <c r="AF67" s="17" t="s">
        <v>45</v>
      </c>
      <c r="AG67" s="6">
        <v>18851</v>
      </c>
    </row>
    <row r="68" spans="30:33" x14ac:dyDescent="0.3">
      <c r="AD68"/>
      <c r="AF68" s="17" t="s">
        <v>108</v>
      </c>
      <c r="AG68" s="6">
        <v>18305.599999999999</v>
      </c>
    </row>
    <row r="69" spans="30:33" x14ac:dyDescent="0.3">
      <c r="AD69"/>
      <c r="AF69" s="17" t="s">
        <v>171</v>
      </c>
      <c r="AG69" s="6">
        <v>18081.68</v>
      </c>
    </row>
    <row r="70" spans="30:33" x14ac:dyDescent="0.3">
      <c r="AD70"/>
      <c r="AF70" s="17" t="s">
        <v>195</v>
      </c>
      <c r="AG70" s="6">
        <v>18067.009999999998</v>
      </c>
    </row>
    <row r="71" spans="30:33" x14ac:dyDescent="0.3">
      <c r="AD71"/>
      <c r="AF71" s="17" t="s">
        <v>198</v>
      </c>
      <c r="AG71" s="6">
        <v>17664.02</v>
      </c>
    </row>
    <row r="72" spans="30:33" x14ac:dyDescent="0.3">
      <c r="AD72"/>
      <c r="AF72" s="17" t="s">
        <v>209</v>
      </c>
      <c r="AG72" s="6">
        <v>17664.02</v>
      </c>
    </row>
    <row r="73" spans="30:33" x14ac:dyDescent="0.3">
      <c r="AD73"/>
      <c r="AF73" s="17" t="s">
        <v>40</v>
      </c>
      <c r="AG73" s="6">
        <v>17174</v>
      </c>
    </row>
    <row r="74" spans="30:33" x14ac:dyDescent="0.3">
      <c r="AD74"/>
      <c r="AF74" s="17" t="s">
        <v>137</v>
      </c>
      <c r="AG74" s="6">
        <v>17151.099999999999</v>
      </c>
    </row>
    <row r="75" spans="30:33" x14ac:dyDescent="0.3">
      <c r="AD75"/>
      <c r="AF75" s="17" t="s">
        <v>182</v>
      </c>
      <c r="AG75" s="6">
        <v>17026.439999999999</v>
      </c>
    </row>
    <row r="76" spans="30:33" x14ac:dyDescent="0.3">
      <c r="AD76"/>
      <c r="AF76" s="17" t="s">
        <v>82</v>
      </c>
      <c r="AG76" s="6">
        <v>16723</v>
      </c>
    </row>
    <row r="77" spans="30:33" x14ac:dyDescent="0.3">
      <c r="AD77"/>
      <c r="AF77" s="17" t="s">
        <v>23</v>
      </c>
      <c r="AG77" s="6">
        <v>16723</v>
      </c>
    </row>
    <row r="78" spans="30:33" x14ac:dyDescent="0.3">
      <c r="AD78"/>
      <c r="AF78" s="17" t="s">
        <v>48</v>
      </c>
      <c r="AG78" s="6">
        <v>16581</v>
      </c>
    </row>
    <row r="79" spans="30:33" x14ac:dyDescent="0.3">
      <c r="AD79"/>
      <c r="AF79" s="17" t="s">
        <v>91</v>
      </c>
      <c r="AG79" s="6">
        <v>16549</v>
      </c>
    </row>
    <row r="80" spans="30:33" x14ac:dyDescent="0.3">
      <c r="AD80"/>
      <c r="AF80" s="17" t="s">
        <v>77</v>
      </c>
      <c r="AG80" s="6">
        <v>16549</v>
      </c>
    </row>
    <row r="81" spans="30:33" x14ac:dyDescent="0.3">
      <c r="AD81"/>
      <c r="AF81" s="17" t="s">
        <v>147</v>
      </c>
      <c r="AG81" s="6">
        <v>16492.32</v>
      </c>
    </row>
    <row r="82" spans="30:33" x14ac:dyDescent="0.3">
      <c r="AD82"/>
      <c r="AF82" s="17" t="s">
        <v>112</v>
      </c>
      <c r="AG82" s="6">
        <v>16424.55</v>
      </c>
    </row>
    <row r="83" spans="30:33" x14ac:dyDescent="0.3">
      <c r="AD83"/>
      <c r="AF83" s="17" t="s">
        <v>124</v>
      </c>
      <c r="AG83" s="6">
        <v>16424.55</v>
      </c>
    </row>
    <row r="84" spans="30:33" x14ac:dyDescent="0.3">
      <c r="AD84"/>
      <c r="AF84" s="17" t="s">
        <v>114</v>
      </c>
      <c r="AG84" s="6">
        <v>16263.9</v>
      </c>
    </row>
    <row r="85" spans="30:33" x14ac:dyDescent="0.3">
      <c r="AD85"/>
      <c r="AF85" s="17" t="s">
        <v>126</v>
      </c>
      <c r="AG85" s="6">
        <v>16263.9</v>
      </c>
    </row>
    <row r="86" spans="30:33" x14ac:dyDescent="0.3">
      <c r="AD86"/>
      <c r="AF86" s="17" t="s">
        <v>165</v>
      </c>
      <c r="AG86" s="6">
        <v>16185.49</v>
      </c>
    </row>
    <row r="87" spans="30:33" x14ac:dyDescent="0.3">
      <c r="AD87"/>
      <c r="AF87" s="17" t="s">
        <v>127</v>
      </c>
      <c r="AG87" s="6">
        <v>16073.5</v>
      </c>
    </row>
    <row r="88" spans="30:33" x14ac:dyDescent="0.3">
      <c r="AD88"/>
      <c r="AF88" s="17" t="s">
        <v>128</v>
      </c>
      <c r="AG88" s="6">
        <v>16058.199999999999</v>
      </c>
    </row>
    <row r="89" spans="30:33" x14ac:dyDescent="0.3">
      <c r="AD89"/>
      <c r="AF89" s="17" t="s">
        <v>115</v>
      </c>
      <c r="AG89" s="6">
        <v>16058.199999999999</v>
      </c>
    </row>
    <row r="90" spans="30:33" x14ac:dyDescent="0.3">
      <c r="AD90"/>
      <c r="AF90" s="17" t="s">
        <v>60</v>
      </c>
      <c r="AG90" s="6">
        <v>15854</v>
      </c>
    </row>
    <row r="91" spans="30:33" x14ac:dyDescent="0.3">
      <c r="AD91"/>
      <c r="AF91" s="17" t="s">
        <v>20</v>
      </c>
      <c r="AG91" s="6">
        <v>15822</v>
      </c>
    </row>
    <row r="92" spans="30:33" x14ac:dyDescent="0.3">
      <c r="AD92"/>
      <c r="AF92" s="17" t="s">
        <v>194</v>
      </c>
      <c r="AG92" s="6">
        <v>15636.01</v>
      </c>
    </row>
    <row r="93" spans="30:33" x14ac:dyDescent="0.3">
      <c r="AD93"/>
      <c r="AF93" s="17" t="s">
        <v>202</v>
      </c>
      <c r="AG93" s="6">
        <v>15473.32</v>
      </c>
    </row>
    <row r="94" spans="30:33" x14ac:dyDescent="0.3">
      <c r="AD94"/>
      <c r="AF94" s="17" t="s">
        <v>189</v>
      </c>
      <c r="AG94" s="6">
        <v>15473.32</v>
      </c>
    </row>
    <row r="95" spans="30:33" x14ac:dyDescent="0.3">
      <c r="AD95"/>
      <c r="AF95" s="17" t="s">
        <v>84</v>
      </c>
      <c r="AG95" s="6">
        <v>15344</v>
      </c>
    </row>
    <row r="96" spans="30:33" x14ac:dyDescent="0.3">
      <c r="AD96"/>
      <c r="AF96" s="17" t="s">
        <v>96</v>
      </c>
      <c r="AG96" s="6">
        <v>15344</v>
      </c>
    </row>
    <row r="97" spans="30:33" x14ac:dyDescent="0.3">
      <c r="AD97"/>
      <c r="AF97" s="17" t="s">
        <v>211</v>
      </c>
      <c r="AG97" s="6">
        <v>15145.130000000001</v>
      </c>
    </row>
    <row r="98" spans="30:33" x14ac:dyDescent="0.3">
      <c r="AD98"/>
      <c r="AF98" s="17" t="s">
        <v>62</v>
      </c>
      <c r="AG98" s="6">
        <v>14914</v>
      </c>
    </row>
    <row r="99" spans="30:33" x14ac:dyDescent="0.3">
      <c r="AD99"/>
      <c r="AF99" s="17" t="s">
        <v>144</v>
      </c>
      <c r="AG99" s="6">
        <v>14857.999999999998</v>
      </c>
    </row>
    <row r="100" spans="30:33" x14ac:dyDescent="0.3">
      <c r="AD100"/>
      <c r="AF100" s="17" t="s">
        <v>76</v>
      </c>
      <c r="AG100" s="6">
        <v>14746</v>
      </c>
    </row>
    <row r="101" spans="30:33" x14ac:dyDescent="0.3">
      <c r="AD101"/>
      <c r="AF101" s="17" t="s">
        <v>90</v>
      </c>
      <c r="AG101" s="6">
        <v>14746</v>
      </c>
    </row>
    <row r="102" spans="30:33" x14ac:dyDescent="0.3">
      <c r="AD102"/>
      <c r="AF102" s="17" t="s">
        <v>132</v>
      </c>
      <c r="AG102" s="6">
        <v>14569.349999999999</v>
      </c>
    </row>
    <row r="103" spans="30:33" x14ac:dyDescent="0.3">
      <c r="AD103"/>
      <c r="AF103" s="17" t="s">
        <v>44</v>
      </c>
      <c r="AG103" s="6">
        <v>14216</v>
      </c>
    </row>
    <row r="104" spans="30:33" x14ac:dyDescent="0.3">
      <c r="AD104"/>
      <c r="AF104" s="17" t="s">
        <v>123</v>
      </c>
      <c r="AG104" s="6">
        <v>14214.55</v>
      </c>
    </row>
    <row r="105" spans="30:33" x14ac:dyDescent="0.3">
      <c r="AD105"/>
      <c r="AF105" s="17" t="s">
        <v>106</v>
      </c>
      <c r="AG105" s="6">
        <v>14066.65</v>
      </c>
    </row>
    <row r="106" spans="30:33" x14ac:dyDescent="0.3">
      <c r="AD106"/>
      <c r="AF106" s="17" t="s">
        <v>136</v>
      </c>
      <c r="AG106" s="6">
        <v>13981.7</v>
      </c>
    </row>
    <row r="107" spans="30:33" x14ac:dyDescent="0.3">
      <c r="AD107"/>
      <c r="AF107" s="17" t="s">
        <v>109</v>
      </c>
      <c r="AG107" s="6">
        <v>13448.699999999999</v>
      </c>
    </row>
    <row r="108" spans="30:33" x14ac:dyDescent="0.3">
      <c r="AD108"/>
      <c r="AF108" s="17" t="s">
        <v>125</v>
      </c>
      <c r="AG108" s="6">
        <v>13042.4</v>
      </c>
    </row>
    <row r="109" spans="30:33" x14ac:dyDescent="0.3">
      <c r="AD109"/>
      <c r="AF109" s="17" t="s">
        <v>71</v>
      </c>
      <c r="AG109" s="6">
        <v>12920</v>
      </c>
    </row>
    <row r="110" spans="30:33" x14ac:dyDescent="0.3">
      <c r="AD110"/>
      <c r="AF110" s="17" t="s">
        <v>142</v>
      </c>
      <c r="AG110" s="6">
        <v>12836.3</v>
      </c>
    </row>
    <row r="111" spans="30:33" x14ac:dyDescent="0.3">
      <c r="AD111"/>
      <c r="AF111" s="17" t="s">
        <v>222</v>
      </c>
      <c r="AG111" s="6">
        <v>12806.859999999999</v>
      </c>
    </row>
    <row r="112" spans="30:33" x14ac:dyDescent="0.3">
      <c r="AD112"/>
      <c r="AF112" s="17" t="s">
        <v>148</v>
      </c>
      <c r="AG112" s="6">
        <v>12711.24</v>
      </c>
    </row>
    <row r="113" spans="30:33" x14ac:dyDescent="0.3">
      <c r="AD113"/>
      <c r="AF113" s="17" t="s">
        <v>78</v>
      </c>
      <c r="AG113" s="6">
        <v>12285</v>
      </c>
    </row>
    <row r="114" spans="30:33" x14ac:dyDescent="0.3">
      <c r="AD114"/>
      <c r="AF114" s="17" t="s">
        <v>143</v>
      </c>
      <c r="AG114" s="6">
        <v>11665.599999999999</v>
      </c>
    </row>
    <row r="115" spans="30:33" x14ac:dyDescent="0.3">
      <c r="AD115"/>
      <c r="AF115" s="17" t="s">
        <v>138</v>
      </c>
      <c r="AG115" s="6">
        <v>11642.599999999999</v>
      </c>
    </row>
    <row r="116" spans="30:33" x14ac:dyDescent="0.3">
      <c r="AD116"/>
      <c r="AF116" s="17" t="s">
        <v>203</v>
      </c>
      <c r="AG116" s="6">
        <v>11486.48</v>
      </c>
    </row>
    <row r="117" spans="30:33" x14ac:dyDescent="0.3">
      <c r="AD117"/>
      <c r="AF117" s="17" t="s">
        <v>54</v>
      </c>
      <c r="AG117" s="6">
        <v>11452</v>
      </c>
    </row>
    <row r="118" spans="30:33" x14ac:dyDescent="0.3">
      <c r="AD118"/>
      <c r="AF118" s="17" t="s">
        <v>72</v>
      </c>
      <c r="AG118" s="6">
        <v>11319</v>
      </c>
    </row>
    <row r="119" spans="30:33" x14ac:dyDescent="0.3">
      <c r="AD119"/>
      <c r="AF119" s="17" t="s">
        <v>68</v>
      </c>
      <c r="AG119" s="6">
        <v>11162</v>
      </c>
    </row>
    <row r="120" spans="30:33" x14ac:dyDescent="0.3">
      <c r="AD120"/>
      <c r="AF120" s="17" t="s">
        <v>131</v>
      </c>
      <c r="AG120" s="6">
        <v>11084.849999999999</v>
      </c>
    </row>
    <row r="121" spans="30:33" x14ac:dyDescent="0.3">
      <c r="AD121"/>
      <c r="AF121" s="17" t="s">
        <v>178</v>
      </c>
      <c r="AG121" s="6">
        <v>10835.82</v>
      </c>
    </row>
    <row r="122" spans="30:33" x14ac:dyDescent="0.3">
      <c r="AD122"/>
      <c r="AF122" s="17" t="s">
        <v>38</v>
      </c>
      <c r="AG122" s="6">
        <v>10776</v>
      </c>
    </row>
    <row r="123" spans="30:33" x14ac:dyDescent="0.3">
      <c r="AD123"/>
      <c r="AF123" s="17" t="s">
        <v>92</v>
      </c>
      <c r="AG123" s="6">
        <v>10768</v>
      </c>
    </row>
    <row r="124" spans="30:33" x14ac:dyDescent="0.3">
      <c r="AD124"/>
      <c r="AF124" s="17" t="s">
        <v>174</v>
      </c>
      <c r="AG124" s="6">
        <v>10206.6</v>
      </c>
    </row>
    <row r="125" spans="30:33" x14ac:dyDescent="0.3">
      <c r="AD125"/>
      <c r="AF125" s="17" t="s">
        <v>204</v>
      </c>
      <c r="AG125" s="6">
        <v>10068.08</v>
      </c>
    </row>
    <row r="126" spans="30:33" x14ac:dyDescent="0.3">
      <c r="AD126"/>
      <c r="AF126" s="17" t="s">
        <v>191</v>
      </c>
      <c r="AG126" s="6">
        <v>10068.08</v>
      </c>
    </row>
    <row r="127" spans="30:33" x14ac:dyDescent="0.3">
      <c r="AD127"/>
      <c r="AF127" s="17" t="s">
        <v>51</v>
      </c>
      <c r="AG127" s="6">
        <v>9793</v>
      </c>
    </row>
    <row r="128" spans="30:33" x14ac:dyDescent="0.3">
      <c r="AD128"/>
      <c r="AF128" s="17" t="s">
        <v>39</v>
      </c>
      <c r="AG128" s="6">
        <v>9709</v>
      </c>
    </row>
    <row r="129" spans="30:33" x14ac:dyDescent="0.3">
      <c r="AD129"/>
      <c r="AF129" s="17" t="s">
        <v>74</v>
      </c>
      <c r="AG129" s="6">
        <v>9648</v>
      </c>
    </row>
    <row r="130" spans="30:33" x14ac:dyDescent="0.3">
      <c r="AD130"/>
      <c r="AF130" s="17" t="s">
        <v>89</v>
      </c>
      <c r="AG130" s="6">
        <v>9556</v>
      </c>
    </row>
    <row r="131" spans="30:33" x14ac:dyDescent="0.3">
      <c r="AD131"/>
      <c r="AF131" s="17" t="s">
        <v>102</v>
      </c>
      <c r="AG131" s="6">
        <v>9556</v>
      </c>
    </row>
    <row r="132" spans="30:33" x14ac:dyDescent="0.3">
      <c r="AD132"/>
      <c r="AF132" s="17" t="s">
        <v>104</v>
      </c>
      <c r="AG132" s="6">
        <v>9510.65</v>
      </c>
    </row>
    <row r="133" spans="30:33" x14ac:dyDescent="0.3">
      <c r="AD133"/>
      <c r="AF133" s="17" t="s">
        <v>133</v>
      </c>
      <c r="AG133" s="6">
        <v>9489.7999999999993</v>
      </c>
    </row>
    <row r="134" spans="30:33" x14ac:dyDescent="0.3">
      <c r="AD134"/>
      <c r="AF134" s="17" t="s">
        <v>186</v>
      </c>
      <c r="AG134" s="6">
        <v>9347.43</v>
      </c>
    </row>
    <row r="135" spans="30:33" x14ac:dyDescent="0.3">
      <c r="AD135"/>
      <c r="AF135" s="17" t="s">
        <v>53</v>
      </c>
      <c r="AG135" s="6">
        <v>9100</v>
      </c>
    </row>
    <row r="136" spans="30:33" x14ac:dyDescent="0.3">
      <c r="AD136"/>
      <c r="AF136" s="17" t="s">
        <v>187</v>
      </c>
      <c r="AG136" s="6">
        <v>9020.8799999999992</v>
      </c>
    </row>
    <row r="137" spans="30:33" x14ac:dyDescent="0.3">
      <c r="AD137"/>
      <c r="AF137" s="17" t="s">
        <v>141</v>
      </c>
      <c r="AG137" s="6">
        <v>8984.9499999999989</v>
      </c>
    </row>
    <row r="138" spans="30:33" x14ac:dyDescent="0.3">
      <c r="AD138"/>
      <c r="AF138" s="17" t="s">
        <v>212</v>
      </c>
      <c r="AG138" s="6">
        <v>8934.86</v>
      </c>
    </row>
    <row r="139" spans="30:33" x14ac:dyDescent="0.3">
      <c r="AD139"/>
      <c r="AF139" s="17" t="s">
        <v>200</v>
      </c>
      <c r="AG139" s="6">
        <v>8934.86</v>
      </c>
    </row>
    <row r="140" spans="30:33" x14ac:dyDescent="0.3">
      <c r="AD140"/>
      <c r="AF140" s="17" t="s">
        <v>37</v>
      </c>
      <c r="AG140" s="6">
        <v>8317</v>
      </c>
    </row>
    <row r="141" spans="30:33" x14ac:dyDescent="0.3">
      <c r="AD141"/>
      <c r="AF141" s="17" t="s">
        <v>58</v>
      </c>
      <c r="AG141" s="6">
        <v>8252</v>
      </c>
    </row>
    <row r="142" spans="30:33" x14ac:dyDescent="0.3">
      <c r="AD142"/>
      <c r="AF142" s="17" t="s">
        <v>103</v>
      </c>
      <c r="AG142" s="6">
        <v>8200.7999999999993</v>
      </c>
    </row>
    <row r="143" spans="30:33" x14ac:dyDescent="0.3">
      <c r="AD143"/>
      <c r="AF143" s="17" t="s">
        <v>67</v>
      </c>
      <c r="AG143" s="6">
        <v>7813</v>
      </c>
    </row>
    <row r="144" spans="30:33" x14ac:dyDescent="0.3">
      <c r="AD144"/>
      <c r="AF144" s="17" t="s">
        <v>220</v>
      </c>
      <c r="AG144" s="6">
        <v>7689.9350000000004</v>
      </c>
    </row>
    <row r="145" spans="30:33" x14ac:dyDescent="0.3">
      <c r="AD145"/>
      <c r="AF145" s="17" t="s">
        <v>214</v>
      </c>
      <c r="AG145" s="6">
        <v>7243.39</v>
      </c>
    </row>
    <row r="146" spans="30:33" x14ac:dyDescent="0.3">
      <c r="AD146"/>
      <c r="AF146" s="17" t="s">
        <v>130</v>
      </c>
      <c r="AG146" s="6">
        <v>6584.9</v>
      </c>
    </row>
    <row r="147" spans="30:33" x14ac:dyDescent="0.3">
      <c r="AD147"/>
      <c r="AF147" s="17" t="s">
        <v>61</v>
      </c>
      <c r="AG147" s="6">
        <v>6079</v>
      </c>
    </row>
    <row r="148" spans="30:33" x14ac:dyDescent="0.3">
      <c r="AD148"/>
      <c r="AF148" s="17" t="s">
        <v>50</v>
      </c>
      <c r="AG148" s="6">
        <v>5849</v>
      </c>
    </row>
    <row r="149" spans="30:33" x14ac:dyDescent="0.3">
      <c r="AD149"/>
      <c r="AF149" s="17" t="s">
        <v>52</v>
      </c>
      <c r="AG149" s="6">
        <v>5640</v>
      </c>
    </row>
    <row r="150" spans="30:33" x14ac:dyDescent="0.3">
      <c r="AD150"/>
      <c r="AF150" s="17" t="s">
        <v>46</v>
      </c>
      <c r="AG150" s="6">
        <v>5538</v>
      </c>
    </row>
    <row r="151" spans="30:33" x14ac:dyDescent="0.3">
      <c r="AD151"/>
      <c r="AF151" s="17" t="s">
        <v>73</v>
      </c>
      <c r="AG151" s="6">
        <v>5244</v>
      </c>
    </row>
    <row r="152" spans="30:33" x14ac:dyDescent="0.3">
      <c r="AD152"/>
      <c r="AF152" s="17" t="s">
        <v>315</v>
      </c>
      <c r="AG152" s="6">
        <v>2953077.85</v>
      </c>
    </row>
    <row r="153" spans="30:33" x14ac:dyDescent="0.3">
      <c r="AD153"/>
    </row>
    <row r="154" spans="30:33" x14ac:dyDescent="0.3">
      <c r="AD154"/>
    </row>
    <row r="155" spans="30:33" x14ac:dyDescent="0.3">
      <c r="AD155"/>
    </row>
    <row r="156" spans="30:33" x14ac:dyDescent="0.3">
      <c r="AD156"/>
    </row>
    <row r="157" spans="30:33" x14ac:dyDescent="0.3">
      <c r="AD157"/>
    </row>
    <row r="158" spans="30:33" x14ac:dyDescent="0.3">
      <c r="AD158"/>
    </row>
    <row r="159" spans="30:33" x14ac:dyDescent="0.3">
      <c r="AD159"/>
    </row>
    <row r="160" spans="30:33" x14ac:dyDescent="0.3">
      <c r="AD160"/>
    </row>
    <row r="161" spans="30:30" x14ac:dyDescent="0.3">
      <c r="AD161"/>
    </row>
    <row r="162" spans="30:30" x14ac:dyDescent="0.3">
      <c r="AD162"/>
    </row>
    <row r="163" spans="30:30" x14ac:dyDescent="0.3">
      <c r="AD163"/>
    </row>
    <row r="164" spans="30:30" x14ac:dyDescent="0.3">
      <c r="AD164"/>
    </row>
    <row r="165" spans="30:30" x14ac:dyDescent="0.3">
      <c r="AD165"/>
    </row>
    <row r="166" spans="30:30" x14ac:dyDescent="0.3">
      <c r="AD166"/>
    </row>
    <row r="167" spans="30:30" x14ac:dyDescent="0.3">
      <c r="AD167"/>
    </row>
    <row r="168" spans="30:30" x14ac:dyDescent="0.3">
      <c r="AD168"/>
    </row>
    <row r="169" spans="30:30" x14ac:dyDescent="0.3">
      <c r="AD169"/>
    </row>
    <row r="170" spans="30:30" x14ac:dyDescent="0.3">
      <c r="AD170"/>
    </row>
    <row r="171" spans="30:30" x14ac:dyDescent="0.3">
      <c r="AD171"/>
    </row>
    <row r="172" spans="30:30" x14ac:dyDescent="0.3">
      <c r="AD172"/>
    </row>
    <row r="173" spans="30:30" x14ac:dyDescent="0.3">
      <c r="AD173"/>
    </row>
    <row r="174" spans="30:30" x14ac:dyDescent="0.3">
      <c r="AD174"/>
    </row>
    <row r="175" spans="30:30" x14ac:dyDescent="0.3">
      <c r="AD175"/>
    </row>
    <row r="176" spans="30:30" x14ac:dyDescent="0.3">
      <c r="AD176"/>
    </row>
    <row r="177" spans="30:30" x14ac:dyDescent="0.3">
      <c r="AD177"/>
    </row>
    <row r="178" spans="30:30" x14ac:dyDescent="0.3">
      <c r="AD178"/>
    </row>
    <row r="179" spans="30:30" x14ac:dyDescent="0.3">
      <c r="AD179"/>
    </row>
    <row r="180" spans="30:30" x14ac:dyDescent="0.3">
      <c r="AD180"/>
    </row>
    <row r="181" spans="30:30" x14ac:dyDescent="0.3">
      <c r="AD181"/>
    </row>
    <row r="182" spans="30:30" x14ac:dyDescent="0.3">
      <c r="AD182"/>
    </row>
    <row r="183" spans="30:30" x14ac:dyDescent="0.3">
      <c r="AD183"/>
    </row>
    <row r="184" spans="30:30" x14ac:dyDescent="0.3">
      <c r="AD184"/>
    </row>
    <row r="185" spans="30:30" x14ac:dyDescent="0.3">
      <c r="AD185"/>
    </row>
    <row r="186" spans="30:30" x14ac:dyDescent="0.3">
      <c r="AD186"/>
    </row>
    <row r="187" spans="30:30" x14ac:dyDescent="0.3">
      <c r="AD187"/>
    </row>
    <row r="188" spans="30:30" x14ac:dyDescent="0.3">
      <c r="AD188"/>
    </row>
    <row r="189" spans="30:30" x14ac:dyDescent="0.3">
      <c r="AD189"/>
    </row>
    <row r="190" spans="30:30" x14ac:dyDescent="0.3">
      <c r="AD190"/>
    </row>
    <row r="191" spans="30:30" x14ac:dyDescent="0.3">
      <c r="AD191"/>
    </row>
    <row r="192" spans="30:30" x14ac:dyDescent="0.3">
      <c r="AD192"/>
    </row>
    <row r="193" spans="30:30" x14ac:dyDescent="0.3">
      <c r="AD193"/>
    </row>
    <row r="194" spans="30:30" x14ac:dyDescent="0.3">
      <c r="AD194"/>
    </row>
    <row r="195" spans="30:30" x14ac:dyDescent="0.3">
      <c r="AD195"/>
    </row>
    <row r="196" spans="30:30" x14ac:dyDescent="0.3">
      <c r="AD196"/>
    </row>
    <row r="197" spans="30:30" x14ac:dyDescent="0.3">
      <c r="AD197"/>
    </row>
    <row r="198" spans="30:30" x14ac:dyDescent="0.3">
      <c r="AD198"/>
    </row>
    <row r="199" spans="30:30" x14ac:dyDescent="0.3">
      <c r="AD199"/>
    </row>
    <row r="200" spans="30:30" x14ac:dyDescent="0.3">
      <c r="AD200"/>
    </row>
    <row r="201" spans="30:30" x14ac:dyDescent="0.3">
      <c r="AD201"/>
    </row>
    <row r="202" spans="30:30" x14ac:dyDescent="0.3">
      <c r="AD202"/>
    </row>
    <row r="203" spans="30:30" x14ac:dyDescent="0.3">
      <c r="AD203"/>
    </row>
    <row r="204" spans="30:30" x14ac:dyDescent="0.3">
      <c r="AD204"/>
    </row>
    <row r="205" spans="30:30" x14ac:dyDescent="0.3">
      <c r="AD205"/>
    </row>
    <row r="206" spans="30:30" x14ac:dyDescent="0.3">
      <c r="AD206"/>
    </row>
    <row r="207" spans="30:30" x14ac:dyDescent="0.3">
      <c r="AD207"/>
    </row>
    <row r="208" spans="30:30" x14ac:dyDescent="0.3">
      <c r="AD208"/>
    </row>
    <row r="209" spans="30:30" x14ac:dyDescent="0.3">
      <c r="AD209"/>
    </row>
    <row r="210" spans="30:30" x14ac:dyDescent="0.3">
      <c r="AD210"/>
    </row>
    <row r="211" spans="30:30" x14ac:dyDescent="0.3">
      <c r="AD211"/>
    </row>
    <row r="212" spans="30:30" x14ac:dyDescent="0.3">
      <c r="AD212"/>
    </row>
    <row r="213" spans="30:30" x14ac:dyDescent="0.3">
      <c r="AD213"/>
    </row>
    <row r="214" spans="30:30" x14ac:dyDescent="0.3">
      <c r="AD214"/>
    </row>
    <row r="215" spans="30:30" x14ac:dyDescent="0.3">
      <c r="AD215"/>
    </row>
    <row r="216" spans="30:30" x14ac:dyDescent="0.3">
      <c r="AD216"/>
    </row>
    <row r="217" spans="30:30" x14ac:dyDescent="0.3">
      <c r="AD217"/>
    </row>
    <row r="218" spans="30:30" x14ac:dyDescent="0.3">
      <c r="AD218"/>
    </row>
    <row r="219" spans="30:30" x14ac:dyDescent="0.3">
      <c r="AD219"/>
    </row>
    <row r="220" spans="30:30" x14ac:dyDescent="0.3">
      <c r="AD220"/>
    </row>
    <row r="221" spans="30:30" x14ac:dyDescent="0.3">
      <c r="AD221"/>
    </row>
    <row r="222" spans="30:30" x14ac:dyDescent="0.3">
      <c r="AD222"/>
    </row>
    <row r="223" spans="30:30" x14ac:dyDescent="0.3">
      <c r="AD223"/>
    </row>
    <row r="224" spans="30:30" x14ac:dyDescent="0.3">
      <c r="AD224"/>
    </row>
    <row r="225" spans="30:30" x14ac:dyDescent="0.3">
      <c r="AD225"/>
    </row>
    <row r="226" spans="30:30" x14ac:dyDescent="0.3">
      <c r="AD226"/>
    </row>
    <row r="227" spans="30:30" x14ac:dyDescent="0.3">
      <c r="AD227"/>
    </row>
    <row r="228" spans="30:30" x14ac:dyDescent="0.3">
      <c r="AD228"/>
    </row>
    <row r="229" spans="30:30" x14ac:dyDescent="0.3">
      <c r="AD229"/>
    </row>
    <row r="230" spans="30:30" x14ac:dyDescent="0.3">
      <c r="AD230"/>
    </row>
    <row r="231" spans="30:30" x14ac:dyDescent="0.3">
      <c r="AD231"/>
    </row>
    <row r="232" spans="30:30" x14ac:dyDescent="0.3">
      <c r="AD232"/>
    </row>
    <row r="233" spans="30:30" x14ac:dyDescent="0.3">
      <c r="AD233"/>
    </row>
    <row r="234" spans="30:30" x14ac:dyDescent="0.3">
      <c r="AD234"/>
    </row>
    <row r="235" spans="30:30" x14ac:dyDescent="0.3">
      <c r="AD235"/>
    </row>
    <row r="236" spans="30:30" x14ac:dyDescent="0.3">
      <c r="AD236"/>
    </row>
    <row r="237" spans="30:30" x14ac:dyDescent="0.3">
      <c r="AD237"/>
    </row>
    <row r="238" spans="30:30" x14ac:dyDescent="0.3">
      <c r="AD238"/>
    </row>
    <row r="239" spans="30:30" x14ac:dyDescent="0.3">
      <c r="AD239"/>
    </row>
    <row r="240" spans="30:30" x14ac:dyDescent="0.3">
      <c r="AD240"/>
    </row>
    <row r="241" spans="30:30" x14ac:dyDescent="0.3">
      <c r="AD241"/>
    </row>
    <row r="242" spans="30:30" x14ac:dyDescent="0.3">
      <c r="AD242"/>
    </row>
  </sheetData>
  <mergeCells count="4">
    <mergeCell ref="V1:Z1"/>
    <mergeCell ref="A1:E1"/>
    <mergeCell ref="H1:L1"/>
    <mergeCell ref="O1:S1"/>
  </mergeCells>
  <pageMargins left="0.7" right="0.7" top="0.75" bottom="0.75" header="0.3" footer="0.3"/>
  <tableParts count="4">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932A6-9D1B-44CB-A883-D7AC8A243548}">
  <sheetPr codeName="Sheet3"/>
  <dimension ref="A1:J61"/>
  <sheetViews>
    <sheetView showGridLines="0" tabSelected="1" topLeftCell="C1" workbookViewId="0">
      <selection activeCell="K1" sqref="K1"/>
    </sheetView>
  </sheetViews>
  <sheetFormatPr defaultRowHeight="14.4" x14ac:dyDescent="0.3"/>
  <cols>
    <col min="1" max="1" width="16.44140625" hidden="1" customWidth="1"/>
    <col min="2" max="2" width="11.109375" hidden="1" customWidth="1"/>
    <col min="3" max="3" width="33.88671875" bestFit="1" customWidth="1"/>
    <col min="4" max="4" width="12.6640625" style="6" customWidth="1"/>
    <col min="5" max="5" width="17.6640625" customWidth="1"/>
    <col min="6" max="6" width="13.88671875" style="7" customWidth="1"/>
    <col min="7" max="7" width="21" style="6" customWidth="1"/>
    <col min="8" max="8" width="16.5546875" customWidth="1"/>
    <col min="9" max="9" width="22.5546875" style="5" customWidth="1"/>
    <col min="10" max="10" width="39.88671875" style="1" customWidth="1"/>
  </cols>
  <sheetData>
    <row r="1" spans="1:10" ht="134.25" customHeight="1" x14ac:dyDescent="0.3">
      <c r="A1" s="25">
        <v>45181.055543981478</v>
      </c>
    </row>
    <row r="3" spans="1:10" x14ac:dyDescent="0.3">
      <c r="A3" s="3" t="s">
        <v>0</v>
      </c>
      <c r="B3" s="3" t="s">
        <v>1</v>
      </c>
      <c r="C3" s="3" t="s">
        <v>2</v>
      </c>
      <c r="D3" s="3" t="s">
        <v>3</v>
      </c>
      <c r="E3" s="3" t="s">
        <v>4</v>
      </c>
      <c r="F3" s="3" t="s">
        <v>5</v>
      </c>
      <c r="G3" s="3" t="s">
        <v>6</v>
      </c>
      <c r="H3" s="3" t="s">
        <v>7</v>
      </c>
      <c r="I3" s="3" t="s">
        <v>8</v>
      </c>
      <c r="J3" s="3" t="s">
        <v>9</v>
      </c>
    </row>
    <row r="4" spans="1:10" ht="28.8" x14ac:dyDescent="0.3">
      <c r="A4" t="str">
        <f>IF($C4="","",Dashboard!$B$3)</f>
        <v>Kelly</v>
      </c>
      <c r="B4" t="str">
        <f>IF($I4="","",UPPER(TEXT($I4,"mmmm")))</f>
        <v>OCTOBER</v>
      </c>
      <c r="C4" t="s">
        <v>227</v>
      </c>
      <c r="D4" s="6">
        <v>9883.4449999999997</v>
      </c>
      <c r="E4" t="s">
        <v>205</v>
      </c>
      <c r="F4" s="7">
        <f t="shared" ref="F4:F54" si="0">IF($E4="","",IF($E4="IDENTIFIED",10%,IF($E4="QUALIFIED",40%,IF($E4="PROPOSAL",75%,100%))))</f>
        <v>0.75</v>
      </c>
      <c r="G4" s="6">
        <f t="shared" ref="G4:G54" si="1">IF(F4="","",D4*F4)</f>
        <v>7412.5837499999998</v>
      </c>
      <c r="H4" t="s">
        <v>14</v>
      </c>
      <c r="I4" s="5">
        <v>45204</v>
      </c>
      <c r="J4" s="1" t="s">
        <v>228</v>
      </c>
    </row>
    <row r="5" spans="1:10" x14ac:dyDescent="0.3">
      <c r="A5" t="str">
        <f>IF($C5="","",Dashboard!$B$3)</f>
        <v>Kelly</v>
      </c>
      <c r="B5" t="str">
        <f t="shared" ref="B5:B54" si="2">IF($I5="","",UPPER(TEXT($I5,"mmmm")))</f>
        <v>OCTOBER</v>
      </c>
      <c r="C5" t="s">
        <v>229</v>
      </c>
      <c r="D5" s="6">
        <v>14119.93</v>
      </c>
      <c r="E5" t="s">
        <v>205</v>
      </c>
      <c r="F5" s="7">
        <f t="shared" si="0"/>
        <v>0.75</v>
      </c>
      <c r="G5" s="6">
        <f t="shared" si="1"/>
        <v>10589.9475</v>
      </c>
      <c r="H5" t="s">
        <v>14</v>
      </c>
      <c r="I5" s="5">
        <v>45206</v>
      </c>
      <c r="J5" s="1" t="s">
        <v>230</v>
      </c>
    </row>
    <row r="6" spans="1:10" x14ac:dyDescent="0.3">
      <c r="A6" t="str">
        <f>IF($C6="","",Dashboard!$B$3)</f>
        <v>Kelly</v>
      </c>
      <c r="B6" t="str">
        <f t="shared" si="2"/>
        <v>OCTOBER</v>
      </c>
      <c r="C6" t="s">
        <v>231</v>
      </c>
      <c r="D6" s="6">
        <v>12943.48</v>
      </c>
      <c r="E6" t="s">
        <v>208</v>
      </c>
      <c r="F6" s="7">
        <f t="shared" si="0"/>
        <v>0.1</v>
      </c>
      <c r="G6" s="6">
        <f t="shared" si="1"/>
        <v>1294.348</v>
      </c>
      <c r="H6" t="s">
        <v>28</v>
      </c>
      <c r="I6" s="5">
        <v>45214</v>
      </c>
    </row>
    <row r="7" spans="1:10" x14ac:dyDescent="0.3">
      <c r="A7" t="str">
        <f>IF($C7="","",Dashboard!$B$3)</f>
        <v>Kelly</v>
      </c>
      <c r="B7" t="str">
        <f t="shared" si="2"/>
        <v>OCTOBER</v>
      </c>
      <c r="C7" t="s">
        <v>232</v>
      </c>
      <c r="D7" s="6">
        <v>12832.16</v>
      </c>
      <c r="E7" t="s">
        <v>208</v>
      </c>
      <c r="F7" s="7">
        <f t="shared" si="0"/>
        <v>0.1</v>
      </c>
      <c r="G7" s="6">
        <f t="shared" si="1"/>
        <v>1283.2160000000001</v>
      </c>
      <c r="H7" t="s">
        <v>28</v>
      </c>
      <c r="I7" s="5">
        <v>45214</v>
      </c>
    </row>
    <row r="8" spans="1:10" x14ac:dyDescent="0.3">
      <c r="A8" t="str">
        <f>IF($C8="","",Dashboard!$B$3)</f>
        <v>Kelly</v>
      </c>
      <c r="B8" t="str">
        <f t="shared" si="2"/>
        <v>OCTOBER</v>
      </c>
      <c r="C8" t="s">
        <v>233</v>
      </c>
      <c r="D8" s="6">
        <v>16343.8</v>
      </c>
      <c r="E8" t="s">
        <v>207</v>
      </c>
      <c r="F8" s="7">
        <f t="shared" si="0"/>
        <v>0.4</v>
      </c>
      <c r="G8" s="6">
        <f t="shared" si="1"/>
        <v>6537.52</v>
      </c>
      <c r="H8" t="s">
        <v>28</v>
      </c>
      <c r="I8" s="5">
        <v>45214</v>
      </c>
    </row>
    <row r="9" spans="1:10" x14ac:dyDescent="0.3">
      <c r="A9" t="str">
        <f>IF($C9="","",Dashboard!$B$3)</f>
        <v>Kelly</v>
      </c>
      <c r="B9" t="str">
        <f t="shared" si="2"/>
        <v>OCTOBER</v>
      </c>
      <c r="C9" t="s">
        <v>234</v>
      </c>
      <c r="D9" s="6">
        <v>14318.535</v>
      </c>
      <c r="E9" t="s">
        <v>207</v>
      </c>
      <c r="F9" s="7">
        <f t="shared" si="0"/>
        <v>0.4</v>
      </c>
      <c r="G9" s="6">
        <f t="shared" si="1"/>
        <v>5727.4140000000007</v>
      </c>
      <c r="H9" t="s">
        <v>36</v>
      </c>
      <c r="I9" s="5">
        <v>45214</v>
      </c>
      <c r="J9" s="1" t="s">
        <v>235</v>
      </c>
    </row>
    <row r="10" spans="1:10" x14ac:dyDescent="0.3">
      <c r="A10" t="str">
        <f>IF($C10="","",Dashboard!$B$3)</f>
        <v>Kelly</v>
      </c>
      <c r="B10" t="str">
        <f t="shared" si="2"/>
        <v>OCTOBER</v>
      </c>
      <c r="C10" t="s">
        <v>236</v>
      </c>
      <c r="D10" s="6">
        <v>22067.925000000003</v>
      </c>
      <c r="E10" t="s">
        <v>205</v>
      </c>
      <c r="F10" s="7">
        <f t="shared" si="0"/>
        <v>0.75</v>
      </c>
      <c r="G10" s="6">
        <f t="shared" si="1"/>
        <v>16550.943750000002</v>
      </c>
      <c r="H10" t="s">
        <v>28</v>
      </c>
      <c r="I10" s="5">
        <v>45219</v>
      </c>
    </row>
    <row r="11" spans="1:10" x14ac:dyDescent="0.3">
      <c r="A11" t="str">
        <f>IF($C11="","",Dashboard!$B$3)</f>
        <v>Kelly</v>
      </c>
      <c r="B11" t="str">
        <f t="shared" si="2"/>
        <v>OCTOBER</v>
      </c>
      <c r="C11" t="s">
        <v>237</v>
      </c>
      <c r="D11" s="6">
        <v>5780.8799999999992</v>
      </c>
      <c r="E11" t="s">
        <v>207</v>
      </c>
      <c r="F11" s="7">
        <f t="shared" si="0"/>
        <v>0.4</v>
      </c>
      <c r="G11" s="6">
        <f t="shared" si="1"/>
        <v>2312.3519999999999</v>
      </c>
      <c r="H11" t="s">
        <v>36</v>
      </c>
      <c r="I11" s="5">
        <v>45219</v>
      </c>
    </row>
    <row r="12" spans="1:10" x14ac:dyDescent="0.3">
      <c r="A12" t="str">
        <f>IF($C12="","",Dashboard!$B$3)</f>
        <v>Kelly</v>
      </c>
      <c r="B12" t="str">
        <f t="shared" si="2"/>
        <v>OCTOBER</v>
      </c>
      <c r="C12" t="s">
        <v>238</v>
      </c>
      <c r="D12" s="6">
        <v>7221.7150000000001</v>
      </c>
      <c r="E12" t="s">
        <v>207</v>
      </c>
      <c r="F12" s="7">
        <f t="shared" si="0"/>
        <v>0.4</v>
      </c>
      <c r="G12" s="6">
        <f t="shared" si="1"/>
        <v>2888.6860000000001</v>
      </c>
      <c r="H12" t="s">
        <v>28</v>
      </c>
      <c r="I12" s="5">
        <v>45229</v>
      </c>
    </row>
    <row r="13" spans="1:10" x14ac:dyDescent="0.3">
      <c r="A13" t="str">
        <f>IF($C13="","",Dashboard!$B$3)</f>
        <v>Kelly</v>
      </c>
      <c r="B13" t="str">
        <f t="shared" si="2"/>
        <v>NOVEMBER</v>
      </c>
      <c r="C13" t="s">
        <v>240</v>
      </c>
      <c r="D13" s="6">
        <v>10547.510000000002</v>
      </c>
      <c r="E13" t="s">
        <v>208</v>
      </c>
      <c r="F13" s="7">
        <f t="shared" si="0"/>
        <v>0.1</v>
      </c>
      <c r="G13" s="6">
        <f t="shared" si="1"/>
        <v>1054.7510000000002</v>
      </c>
      <c r="H13" t="s">
        <v>36</v>
      </c>
      <c r="I13" s="5">
        <v>45231</v>
      </c>
      <c r="J13" s="1" t="s">
        <v>241</v>
      </c>
    </row>
    <row r="14" spans="1:10" x14ac:dyDescent="0.3">
      <c r="A14" t="str">
        <f>IF($C14="","",Dashboard!$B$3)</f>
        <v>Kelly</v>
      </c>
      <c r="B14" t="str">
        <f t="shared" si="2"/>
        <v>NOVEMBER</v>
      </c>
      <c r="C14" t="s">
        <v>242</v>
      </c>
      <c r="D14" s="6">
        <v>12233.315000000001</v>
      </c>
      <c r="E14" t="s">
        <v>208</v>
      </c>
      <c r="F14" s="7">
        <f t="shared" si="0"/>
        <v>0.1</v>
      </c>
      <c r="G14" s="6">
        <f t="shared" si="1"/>
        <v>1223.3315</v>
      </c>
      <c r="H14" t="s">
        <v>28</v>
      </c>
      <c r="I14" s="5">
        <v>45241</v>
      </c>
      <c r="J14" s="1" t="s">
        <v>243</v>
      </c>
    </row>
    <row r="15" spans="1:10" x14ac:dyDescent="0.3">
      <c r="A15" t="str">
        <f>IF($C15="","",Dashboard!$B$3)</f>
        <v>Kelly</v>
      </c>
      <c r="B15" t="str">
        <f t="shared" si="2"/>
        <v>NOVEMBER</v>
      </c>
      <c r="C15" t="s">
        <v>244</v>
      </c>
      <c r="D15" s="6">
        <v>8246.4750000000004</v>
      </c>
      <c r="E15" t="s">
        <v>207</v>
      </c>
      <c r="F15" s="7">
        <f t="shared" si="0"/>
        <v>0.4</v>
      </c>
      <c r="G15" s="6">
        <f t="shared" si="1"/>
        <v>3298.59</v>
      </c>
      <c r="H15" t="s">
        <v>28</v>
      </c>
      <c r="I15" s="5">
        <v>45245</v>
      </c>
    </row>
    <row r="16" spans="1:10" x14ac:dyDescent="0.3">
      <c r="A16" t="str">
        <f>IF($C16="","",Dashboard!$B$3)</f>
        <v>Kelly</v>
      </c>
      <c r="B16" t="str">
        <f t="shared" si="2"/>
        <v>NOVEMBER</v>
      </c>
      <c r="C16" t="s">
        <v>245</v>
      </c>
      <c r="D16" s="6">
        <v>6828.08</v>
      </c>
      <c r="E16" t="s">
        <v>205</v>
      </c>
      <c r="F16" s="7">
        <f t="shared" si="0"/>
        <v>0.75</v>
      </c>
      <c r="G16" s="6">
        <f t="shared" si="1"/>
        <v>5121.0599999999995</v>
      </c>
      <c r="H16" t="s">
        <v>28</v>
      </c>
      <c r="I16" s="5">
        <v>45245</v>
      </c>
    </row>
    <row r="17" spans="1:10" x14ac:dyDescent="0.3">
      <c r="A17" t="str">
        <f>IF($C17="","",Dashboard!$B$3)</f>
        <v>Kelly</v>
      </c>
      <c r="B17" t="str">
        <f t="shared" si="2"/>
        <v>NOVEMBER</v>
      </c>
      <c r="C17" t="s">
        <v>246</v>
      </c>
      <c r="D17" s="6">
        <v>11553.57</v>
      </c>
      <c r="E17" t="s">
        <v>208</v>
      </c>
      <c r="F17" s="7">
        <f t="shared" si="0"/>
        <v>0.1</v>
      </c>
      <c r="G17" s="6">
        <f t="shared" si="1"/>
        <v>1155.357</v>
      </c>
      <c r="H17" t="s">
        <v>36</v>
      </c>
      <c r="I17" s="5">
        <v>45245</v>
      </c>
    </row>
    <row r="18" spans="1:10" x14ac:dyDescent="0.3">
      <c r="A18" t="str">
        <f>IF($C18="","",Dashboard!$B$3)</f>
        <v>Kelly</v>
      </c>
      <c r="B18" t="str">
        <f t="shared" si="2"/>
        <v>NOVEMBER</v>
      </c>
      <c r="C18" t="s">
        <v>247</v>
      </c>
      <c r="D18" s="6">
        <v>12396.005000000001</v>
      </c>
      <c r="E18" t="s">
        <v>207</v>
      </c>
      <c r="F18" s="7">
        <f t="shared" si="0"/>
        <v>0.4</v>
      </c>
      <c r="G18" s="6">
        <f t="shared" si="1"/>
        <v>4958.402000000001</v>
      </c>
      <c r="H18" t="s">
        <v>36</v>
      </c>
      <c r="I18" s="5">
        <v>45245</v>
      </c>
    </row>
    <row r="19" spans="1:10" x14ac:dyDescent="0.3">
      <c r="A19" t="str">
        <f>IF($C19="","",Dashboard!$B$3)</f>
        <v>Kelly</v>
      </c>
      <c r="B19" t="str">
        <f t="shared" si="2"/>
        <v>NOVEMBER</v>
      </c>
      <c r="C19" t="s">
        <v>248</v>
      </c>
      <c r="D19" s="6">
        <v>14827.005000000001</v>
      </c>
      <c r="E19" t="s">
        <v>205</v>
      </c>
      <c r="F19" s="7">
        <f t="shared" si="0"/>
        <v>0.75</v>
      </c>
      <c r="G19" s="6">
        <f t="shared" si="1"/>
        <v>11120.25375</v>
      </c>
      <c r="H19" t="s">
        <v>14</v>
      </c>
      <c r="I19" s="5">
        <v>45245</v>
      </c>
    </row>
    <row r="20" spans="1:10" x14ac:dyDescent="0.3">
      <c r="A20" t="str">
        <f>IF($C20="","",Dashboard!$B$3)</f>
        <v>Kelly</v>
      </c>
      <c r="B20" t="str">
        <f t="shared" si="2"/>
        <v>NOVEMBER</v>
      </c>
      <c r="C20" t="s">
        <v>249</v>
      </c>
      <c r="D20" s="6">
        <v>11106.640000000001</v>
      </c>
      <c r="E20" t="s">
        <v>208</v>
      </c>
      <c r="F20" s="7">
        <f t="shared" si="0"/>
        <v>0.1</v>
      </c>
      <c r="G20" s="6">
        <f t="shared" si="1"/>
        <v>1110.6640000000002</v>
      </c>
      <c r="H20" t="s">
        <v>36</v>
      </c>
      <c r="I20" s="5">
        <v>45250</v>
      </c>
    </row>
    <row r="21" spans="1:10" x14ac:dyDescent="0.3">
      <c r="A21" t="str">
        <f>IF($C21="","",Dashboard!$B$3)</f>
        <v>Kelly</v>
      </c>
      <c r="B21" t="str">
        <f t="shared" si="2"/>
        <v>NOVEMBER</v>
      </c>
      <c r="C21" t="s">
        <v>250</v>
      </c>
      <c r="D21" s="6">
        <v>14650.29</v>
      </c>
      <c r="E21" t="s">
        <v>205</v>
      </c>
      <c r="F21" s="7">
        <f t="shared" si="0"/>
        <v>0.75</v>
      </c>
      <c r="G21" s="6">
        <f t="shared" si="1"/>
        <v>10987.717500000001</v>
      </c>
      <c r="H21" t="s">
        <v>14</v>
      </c>
      <c r="I21" s="5">
        <v>45252</v>
      </c>
    </row>
    <row r="22" spans="1:10" x14ac:dyDescent="0.3">
      <c r="A22" t="str">
        <f>IF($C22="","",Dashboard!$B$3)</f>
        <v>Kelly</v>
      </c>
      <c r="B22" t="str">
        <f t="shared" si="2"/>
        <v>NOVEMBER</v>
      </c>
      <c r="C22" t="s">
        <v>251</v>
      </c>
      <c r="D22" s="6">
        <v>14440.850000000002</v>
      </c>
      <c r="E22" t="s">
        <v>207</v>
      </c>
      <c r="F22" s="7">
        <f t="shared" si="0"/>
        <v>0.4</v>
      </c>
      <c r="G22" s="6">
        <f t="shared" si="1"/>
        <v>5776.3400000000011</v>
      </c>
      <c r="H22" t="s">
        <v>28</v>
      </c>
      <c r="I22" s="5">
        <v>45253</v>
      </c>
    </row>
    <row r="23" spans="1:10" x14ac:dyDescent="0.3">
      <c r="A23" t="str">
        <f>IF($C23="","",Dashboard!$B$3)</f>
        <v>Kelly</v>
      </c>
      <c r="B23" t="str">
        <f t="shared" si="2"/>
        <v>NOVEMBER</v>
      </c>
      <c r="C23" t="s">
        <v>252</v>
      </c>
      <c r="D23" s="6">
        <v>14424.02</v>
      </c>
      <c r="E23" t="s">
        <v>207</v>
      </c>
      <c r="F23" s="7">
        <f t="shared" si="0"/>
        <v>0.4</v>
      </c>
      <c r="G23" s="6">
        <f t="shared" si="1"/>
        <v>5769.6080000000002</v>
      </c>
      <c r="H23" t="s">
        <v>28</v>
      </c>
      <c r="I23" s="5">
        <v>45260</v>
      </c>
    </row>
    <row r="24" spans="1:10" x14ac:dyDescent="0.3">
      <c r="A24" t="str">
        <f>IF($C24="","",Dashboard!$B$3)</f>
        <v>Kelly</v>
      </c>
      <c r="B24" t="str">
        <f t="shared" si="2"/>
        <v>NOVEMBER</v>
      </c>
      <c r="C24" t="s">
        <v>253</v>
      </c>
      <c r="D24" s="6">
        <v>11905.130000000001</v>
      </c>
      <c r="E24" t="s">
        <v>208</v>
      </c>
      <c r="F24" s="7">
        <f t="shared" si="0"/>
        <v>0.1</v>
      </c>
      <c r="G24" s="6">
        <f t="shared" si="1"/>
        <v>1190.5130000000001</v>
      </c>
      <c r="H24" t="s">
        <v>28</v>
      </c>
      <c r="I24" s="5">
        <v>45260</v>
      </c>
    </row>
    <row r="25" spans="1:10" x14ac:dyDescent="0.3">
      <c r="A25" t="str">
        <f>IF($C25="","",Dashboard!$B$3)</f>
        <v>Kelly</v>
      </c>
      <c r="B25" t="str">
        <f t="shared" si="2"/>
        <v>NOVEMBER</v>
      </c>
      <c r="C25" t="s">
        <v>254</v>
      </c>
      <c r="D25" s="6">
        <v>5694.8600000000006</v>
      </c>
      <c r="E25" t="s">
        <v>208</v>
      </c>
      <c r="F25" s="7">
        <f t="shared" si="0"/>
        <v>0.1</v>
      </c>
      <c r="G25" s="6">
        <f t="shared" si="1"/>
        <v>569.4860000000001</v>
      </c>
      <c r="H25" t="s">
        <v>36</v>
      </c>
      <c r="I25" s="5">
        <v>45260</v>
      </c>
    </row>
    <row r="26" spans="1:10" x14ac:dyDescent="0.3">
      <c r="A26" t="str">
        <f>IF($C26="","",Dashboard!$B$3)</f>
        <v>Kelly</v>
      </c>
      <c r="B26" t="str">
        <f t="shared" si="2"/>
        <v>NOVEMBER</v>
      </c>
      <c r="C26" t="s">
        <v>255</v>
      </c>
      <c r="D26" s="6">
        <v>10547.510000000002</v>
      </c>
      <c r="E26" t="s">
        <v>207</v>
      </c>
      <c r="F26" s="7">
        <f t="shared" si="0"/>
        <v>0.4</v>
      </c>
      <c r="G26" s="6">
        <f t="shared" si="1"/>
        <v>4219.0040000000008</v>
      </c>
      <c r="H26" t="s">
        <v>14</v>
      </c>
      <c r="I26" s="5">
        <v>45260</v>
      </c>
    </row>
    <row r="27" spans="1:10" x14ac:dyDescent="0.3">
      <c r="A27" t="str">
        <f>IF($C27="","",Dashboard!$B$3)</f>
        <v>Kelly</v>
      </c>
      <c r="B27" t="str">
        <f t="shared" si="2"/>
        <v>DECEMBER</v>
      </c>
      <c r="C27" t="s">
        <v>257</v>
      </c>
      <c r="D27" s="6">
        <v>12233.315000000001</v>
      </c>
      <c r="E27" t="s">
        <v>208</v>
      </c>
      <c r="F27" s="7">
        <f t="shared" si="0"/>
        <v>0.1</v>
      </c>
      <c r="G27" s="6">
        <f t="shared" si="1"/>
        <v>1223.3315</v>
      </c>
      <c r="H27" t="s">
        <v>28</v>
      </c>
      <c r="I27" s="5">
        <v>45261</v>
      </c>
    </row>
    <row r="28" spans="1:10" x14ac:dyDescent="0.3">
      <c r="A28" t="str">
        <f>IF($C28="","",Dashboard!$B$3)</f>
        <v>Kelly</v>
      </c>
      <c r="B28" t="str">
        <f t="shared" si="2"/>
        <v>DECEMBER</v>
      </c>
      <c r="C28" t="s">
        <v>258</v>
      </c>
      <c r="D28" s="6">
        <v>8246.4750000000004</v>
      </c>
      <c r="E28" t="s">
        <v>208</v>
      </c>
      <c r="F28" s="7">
        <f t="shared" si="0"/>
        <v>0.1</v>
      </c>
      <c r="G28" s="6">
        <f t="shared" si="1"/>
        <v>824.64750000000004</v>
      </c>
      <c r="H28" t="s">
        <v>28</v>
      </c>
      <c r="I28" s="5">
        <v>45261</v>
      </c>
    </row>
    <row r="29" spans="1:10" x14ac:dyDescent="0.3">
      <c r="A29" t="str">
        <f>IF($C29="","",Dashboard!$B$3)</f>
        <v>Kelly</v>
      </c>
      <c r="B29" t="str">
        <f t="shared" si="2"/>
        <v>DECEMBER</v>
      </c>
      <c r="C29" t="s">
        <v>259</v>
      </c>
      <c r="D29" s="6">
        <v>6828.08</v>
      </c>
      <c r="E29" t="s">
        <v>208</v>
      </c>
      <c r="F29" s="7">
        <f t="shared" si="0"/>
        <v>0.1</v>
      </c>
      <c r="G29" s="6">
        <f t="shared" si="1"/>
        <v>682.80799999999999</v>
      </c>
      <c r="H29" t="s">
        <v>28</v>
      </c>
      <c r="I29" s="5">
        <v>45261</v>
      </c>
    </row>
    <row r="30" spans="1:10" x14ac:dyDescent="0.3">
      <c r="A30" t="str">
        <f>IF($C30="","",Dashboard!$B$3)</f>
        <v>Kelly</v>
      </c>
      <c r="B30" t="str">
        <f t="shared" si="2"/>
        <v>DECEMBER</v>
      </c>
      <c r="C30" t="s">
        <v>260</v>
      </c>
      <c r="D30" s="6">
        <v>11553.57</v>
      </c>
      <c r="E30" t="s">
        <v>207</v>
      </c>
      <c r="F30" s="7">
        <f t="shared" si="0"/>
        <v>0.4</v>
      </c>
      <c r="G30" s="6">
        <f t="shared" si="1"/>
        <v>4621.4279999999999</v>
      </c>
      <c r="H30" t="s">
        <v>28</v>
      </c>
      <c r="I30" s="5">
        <v>45261</v>
      </c>
      <c r="J30" s="1" t="s">
        <v>241</v>
      </c>
    </row>
    <row r="31" spans="1:10" x14ac:dyDescent="0.3">
      <c r="A31" t="str">
        <f>IF($C31="","",Dashboard!$B$3)</f>
        <v>Kelly</v>
      </c>
      <c r="B31" t="str">
        <f t="shared" si="2"/>
        <v>DECEMBER</v>
      </c>
      <c r="C31" t="s">
        <v>261</v>
      </c>
      <c r="D31" s="6">
        <v>12396.005000000001</v>
      </c>
      <c r="E31" t="s">
        <v>208</v>
      </c>
      <c r="F31" s="7">
        <f t="shared" si="0"/>
        <v>0.1</v>
      </c>
      <c r="G31" s="6">
        <f t="shared" si="1"/>
        <v>1239.6005000000002</v>
      </c>
      <c r="H31" t="s">
        <v>28</v>
      </c>
      <c r="I31" s="5">
        <v>45261</v>
      </c>
      <c r="J31" s="1" t="s">
        <v>262</v>
      </c>
    </row>
    <row r="32" spans="1:10" x14ac:dyDescent="0.3">
      <c r="A32" t="str">
        <f>IF($C32="","",Dashboard!$B$3)</f>
        <v>Kelly</v>
      </c>
      <c r="B32" t="str">
        <f t="shared" si="2"/>
        <v>DECEMBER</v>
      </c>
      <c r="C32" t="s">
        <v>263</v>
      </c>
      <c r="D32" s="6">
        <v>14827.005000000001</v>
      </c>
      <c r="E32" t="s">
        <v>208</v>
      </c>
      <c r="F32" s="7">
        <f t="shared" si="0"/>
        <v>0.1</v>
      </c>
      <c r="G32" s="6">
        <f t="shared" si="1"/>
        <v>1482.7005000000001</v>
      </c>
      <c r="H32" t="s">
        <v>36</v>
      </c>
      <c r="I32" s="5">
        <v>45261</v>
      </c>
    </row>
    <row r="33" spans="1:10" x14ac:dyDescent="0.3">
      <c r="A33" t="str">
        <f>IF($C33="","",Dashboard!$B$3)</f>
        <v>Kelly</v>
      </c>
      <c r="B33" t="str">
        <f t="shared" si="2"/>
        <v>DECEMBER</v>
      </c>
      <c r="C33" t="s">
        <v>264</v>
      </c>
      <c r="D33" s="6">
        <v>11106.640000000001</v>
      </c>
      <c r="E33" t="s">
        <v>208</v>
      </c>
      <c r="F33" s="7">
        <f t="shared" si="0"/>
        <v>0.1</v>
      </c>
      <c r="G33" s="6">
        <f t="shared" si="1"/>
        <v>1110.6640000000002</v>
      </c>
      <c r="H33" t="s">
        <v>36</v>
      </c>
      <c r="I33" s="5">
        <v>45261</v>
      </c>
    </row>
    <row r="34" spans="1:10" x14ac:dyDescent="0.3">
      <c r="A34" t="str">
        <f>IF($C34="","",Dashboard!$B$3)</f>
        <v>Kelly</v>
      </c>
      <c r="B34" t="str">
        <f t="shared" si="2"/>
        <v>DECEMBER</v>
      </c>
      <c r="C34" t="s">
        <v>265</v>
      </c>
      <c r="D34" s="6">
        <v>14650.29</v>
      </c>
      <c r="E34" t="s">
        <v>207</v>
      </c>
      <c r="F34" s="7">
        <f t="shared" si="0"/>
        <v>0.4</v>
      </c>
      <c r="G34" s="6">
        <f t="shared" si="1"/>
        <v>5860.1160000000009</v>
      </c>
      <c r="H34" t="s">
        <v>14</v>
      </c>
      <c r="I34" s="5">
        <v>45261</v>
      </c>
    </row>
    <row r="35" spans="1:10" x14ac:dyDescent="0.3">
      <c r="A35" t="str">
        <f>IF($C35="","",Dashboard!$B$3)</f>
        <v>Kelly</v>
      </c>
      <c r="B35" t="str">
        <f t="shared" si="2"/>
        <v>DECEMBER</v>
      </c>
      <c r="C35" t="s">
        <v>224</v>
      </c>
      <c r="D35" s="6">
        <v>14440.850000000002</v>
      </c>
      <c r="E35" t="s">
        <v>207</v>
      </c>
      <c r="F35" s="7">
        <f t="shared" si="0"/>
        <v>0.4</v>
      </c>
      <c r="G35" s="6">
        <f t="shared" si="1"/>
        <v>5776.3400000000011</v>
      </c>
      <c r="H35" t="s">
        <v>14</v>
      </c>
      <c r="I35" s="5">
        <v>45261</v>
      </c>
    </row>
    <row r="36" spans="1:10" x14ac:dyDescent="0.3">
      <c r="A36" t="str">
        <f>IF($C36="","",Dashboard!$B$3)</f>
        <v>Kelly</v>
      </c>
      <c r="B36" t="str">
        <f t="shared" si="2"/>
        <v>DECEMBER</v>
      </c>
      <c r="C36" t="s">
        <v>266</v>
      </c>
      <c r="D36" s="6">
        <v>14424.02</v>
      </c>
      <c r="E36" t="s">
        <v>207</v>
      </c>
      <c r="F36" s="7">
        <f t="shared" si="0"/>
        <v>0.4</v>
      </c>
      <c r="G36" s="6">
        <f t="shared" si="1"/>
        <v>5769.6080000000002</v>
      </c>
      <c r="H36" t="s">
        <v>36</v>
      </c>
      <c r="I36" s="5">
        <v>45272</v>
      </c>
    </row>
    <row r="37" spans="1:10" x14ac:dyDescent="0.3">
      <c r="A37" t="str">
        <f>IF($C37="","",Dashboard!$B$3)</f>
        <v>Kelly</v>
      </c>
      <c r="B37" t="str">
        <f t="shared" si="2"/>
        <v>DECEMBER</v>
      </c>
      <c r="C37" t="s">
        <v>267</v>
      </c>
      <c r="D37" s="6">
        <v>11905.130000000001</v>
      </c>
      <c r="E37" t="s">
        <v>207</v>
      </c>
      <c r="F37" s="7">
        <f t="shared" si="0"/>
        <v>0.4</v>
      </c>
      <c r="G37" s="6">
        <f t="shared" si="1"/>
        <v>4762.0520000000006</v>
      </c>
      <c r="H37" t="s">
        <v>28</v>
      </c>
      <c r="I37" s="5">
        <v>45275</v>
      </c>
    </row>
    <row r="38" spans="1:10" x14ac:dyDescent="0.3">
      <c r="A38" t="str">
        <f>IF($C38="","",Dashboard!$B$3)</f>
        <v>Kelly</v>
      </c>
      <c r="B38" t="str">
        <f t="shared" si="2"/>
        <v>DECEMBER</v>
      </c>
      <c r="C38" t="s">
        <v>268</v>
      </c>
      <c r="D38" s="6">
        <v>5694.8600000000006</v>
      </c>
      <c r="E38" t="s">
        <v>208</v>
      </c>
      <c r="F38" s="7">
        <f t="shared" si="0"/>
        <v>0.1</v>
      </c>
      <c r="G38" s="6">
        <f t="shared" si="1"/>
        <v>569.4860000000001</v>
      </c>
      <c r="H38" t="s">
        <v>28</v>
      </c>
      <c r="I38" s="5">
        <v>45275</v>
      </c>
    </row>
    <row r="39" spans="1:10" x14ac:dyDescent="0.3">
      <c r="A39" t="str">
        <f>IF($C39="","",Dashboard!$B$3)</f>
        <v>Kelly</v>
      </c>
      <c r="B39" t="str">
        <f t="shared" si="2"/>
        <v>DECEMBER</v>
      </c>
      <c r="C39" t="s">
        <v>206</v>
      </c>
      <c r="D39" s="6">
        <v>4003.3900000000003</v>
      </c>
      <c r="E39" t="s">
        <v>208</v>
      </c>
      <c r="F39" s="7">
        <f t="shared" si="0"/>
        <v>0.1</v>
      </c>
      <c r="G39" s="6">
        <f t="shared" si="1"/>
        <v>400.33900000000006</v>
      </c>
      <c r="H39" t="s">
        <v>36</v>
      </c>
      <c r="I39" s="5">
        <v>45275</v>
      </c>
      <c r="J39" s="1" t="s">
        <v>269</v>
      </c>
    </row>
    <row r="40" spans="1:10" x14ac:dyDescent="0.3">
      <c r="A40" t="str">
        <f>IF($C40="","",Dashboard!$B$3)</f>
        <v>Kelly</v>
      </c>
      <c r="B40" t="str">
        <f t="shared" si="2"/>
        <v>DECEMBER</v>
      </c>
      <c r="C40" t="s">
        <v>270</v>
      </c>
      <c r="D40" s="6">
        <v>8953.3349999999991</v>
      </c>
      <c r="E40" t="s">
        <v>207</v>
      </c>
      <c r="F40" s="7">
        <f t="shared" si="0"/>
        <v>0.4</v>
      </c>
      <c r="G40" s="6">
        <f t="shared" si="1"/>
        <v>3581.3339999999998</v>
      </c>
      <c r="H40" t="s">
        <v>14</v>
      </c>
      <c r="I40" s="5">
        <v>45275</v>
      </c>
    </row>
    <row r="41" spans="1:10" x14ac:dyDescent="0.3">
      <c r="A41" t="str">
        <f>IF($C41="","",Dashboard!$B$3)</f>
        <v>Kelly</v>
      </c>
      <c r="B41" t="str">
        <f t="shared" si="2"/>
        <v>DECEMBER</v>
      </c>
      <c r="C41" t="s">
        <v>271</v>
      </c>
      <c r="D41" s="6">
        <v>12786.285</v>
      </c>
      <c r="E41" t="s">
        <v>208</v>
      </c>
      <c r="F41" s="7">
        <f t="shared" si="0"/>
        <v>0.1</v>
      </c>
      <c r="G41" s="6">
        <f t="shared" si="1"/>
        <v>1278.6285</v>
      </c>
      <c r="H41" t="s">
        <v>28</v>
      </c>
      <c r="I41" s="5">
        <v>45280</v>
      </c>
    </row>
    <row r="42" spans="1:10" x14ac:dyDescent="0.3">
      <c r="A42" t="str">
        <f>IF($C42="","",Dashboard!$B$3)</f>
        <v>Kelly</v>
      </c>
      <c r="B42" t="str">
        <f t="shared" si="2"/>
        <v>DECEMBER</v>
      </c>
      <c r="C42" t="s">
        <v>272</v>
      </c>
      <c r="D42" s="6">
        <v>7198.7800000000007</v>
      </c>
      <c r="E42" t="s">
        <v>207</v>
      </c>
      <c r="F42" s="7">
        <f t="shared" si="0"/>
        <v>0.4</v>
      </c>
      <c r="G42" s="6">
        <f t="shared" si="1"/>
        <v>2879.5120000000006</v>
      </c>
      <c r="H42" t="s">
        <v>14</v>
      </c>
      <c r="I42" s="5">
        <v>45290</v>
      </c>
    </row>
    <row r="43" spans="1:10" x14ac:dyDescent="0.3">
      <c r="A43" t="str">
        <f>IF($C43="","",Dashboard!$B$3)</f>
        <v>Kelly</v>
      </c>
      <c r="B43" t="str">
        <f t="shared" si="2"/>
        <v>DECEMBER</v>
      </c>
      <c r="C43" t="s">
        <v>273</v>
      </c>
      <c r="D43" s="6">
        <v>16815.310000000001</v>
      </c>
      <c r="E43" t="s">
        <v>207</v>
      </c>
      <c r="F43" s="7">
        <f t="shared" si="0"/>
        <v>0.4</v>
      </c>
      <c r="G43" s="6">
        <f t="shared" si="1"/>
        <v>6726.1240000000007</v>
      </c>
      <c r="H43" t="s">
        <v>14</v>
      </c>
      <c r="I43" s="5">
        <v>45290</v>
      </c>
    </row>
    <row r="44" spans="1:10" x14ac:dyDescent="0.3">
      <c r="A44" t="str">
        <f>IF($C44="","",Dashboard!$B$3)</f>
        <v>Kelly</v>
      </c>
      <c r="B44" t="str">
        <f t="shared" si="2"/>
        <v>DECEMBER</v>
      </c>
      <c r="C44" t="s">
        <v>274</v>
      </c>
      <c r="D44" s="6">
        <v>4449.9350000000004</v>
      </c>
      <c r="E44" t="s">
        <v>207</v>
      </c>
      <c r="F44" s="7">
        <f t="shared" si="0"/>
        <v>0.4</v>
      </c>
      <c r="G44" s="6">
        <f t="shared" si="1"/>
        <v>1779.9740000000002</v>
      </c>
      <c r="H44" t="s">
        <v>28</v>
      </c>
      <c r="I44" s="5">
        <v>45291</v>
      </c>
    </row>
    <row r="45" spans="1:10" x14ac:dyDescent="0.3">
      <c r="A45" t="str">
        <f>IF($C45="","",Dashboard!$B$3)</f>
        <v>Kelly</v>
      </c>
      <c r="B45" t="str">
        <f t="shared" si="2"/>
        <v>DECEMBER</v>
      </c>
      <c r="C45" t="s">
        <v>275</v>
      </c>
      <c r="D45" s="6">
        <v>15626.21</v>
      </c>
      <c r="E45" t="s">
        <v>208</v>
      </c>
      <c r="F45" s="7">
        <f t="shared" si="0"/>
        <v>0.1</v>
      </c>
      <c r="G45" s="6">
        <f t="shared" si="1"/>
        <v>1562.6210000000001</v>
      </c>
      <c r="H45" t="s">
        <v>28</v>
      </c>
      <c r="I45" s="5">
        <v>45291</v>
      </c>
    </row>
    <row r="46" spans="1:10" x14ac:dyDescent="0.3">
      <c r="A46" t="str">
        <f>IF($C46="","",Dashboard!$B$3)</f>
        <v>Kelly</v>
      </c>
      <c r="B46" t="str">
        <f t="shared" si="2"/>
        <v>DECEMBER</v>
      </c>
      <c r="C46" t="s">
        <v>276</v>
      </c>
      <c r="D46" s="6">
        <v>9566.8599999999988</v>
      </c>
      <c r="E46" t="s">
        <v>207</v>
      </c>
      <c r="F46" s="7">
        <f t="shared" si="0"/>
        <v>0.4</v>
      </c>
      <c r="G46" s="6">
        <f t="shared" si="1"/>
        <v>3826.7439999999997</v>
      </c>
      <c r="H46" t="s">
        <v>28</v>
      </c>
      <c r="I46" s="5">
        <v>45291</v>
      </c>
    </row>
    <row r="47" spans="1:10" x14ac:dyDescent="0.3">
      <c r="A47" t="str">
        <f>IF($C47="","",Dashboard!$B$3)</f>
        <v>Kelly</v>
      </c>
      <c r="B47" t="str">
        <f t="shared" si="2"/>
        <v>DECEMBER</v>
      </c>
      <c r="C47" t="s">
        <v>277</v>
      </c>
      <c r="D47" s="6">
        <v>8843.2800000000007</v>
      </c>
      <c r="E47" t="s">
        <v>208</v>
      </c>
      <c r="F47" s="7">
        <f t="shared" si="0"/>
        <v>0.1</v>
      </c>
      <c r="G47" s="6">
        <f t="shared" si="1"/>
        <v>884.32800000000009</v>
      </c>
      <c r="H47" t="s">
        <v>28</v>
      </c>
      <c r="I47" s="5">
        <v>45291</v>
      </c>
    </row>
    <row r="48" spans="1:10" x14ac:dyDescent="0.3">
      <c r="A48" t="str">
        <f>IF($C48="","",Dashboard!$B$3)</f>
        <v>Kelly</v>
      </c>
      <c r="B48" t="str">
        <f t="shared" si="2"/>
        <v>DECEMBER</v>
      </c>
      <c r="C48" t="s">
        <v>278</v>
      </c>
      <c r="D48" s="6">
        <v>17570.514999999999</v>
      </c>
      <c r="E48" t="s">
        <v>207</v>
      </c>
      <c r="F48" s="7">
        <f t="shared" si="0"/>
        <v>0.4</v>
      </c>
      <c r="G48" s="6">
        <f t="shared" si="1"/>
        <v>7028.2060000000001</v>
      </c>
      <c r="H48" t="s">
        <v>36</v>
      </c>
      <c r="I48" s="5">
        <v>45291</v>
      </c>
    </row>
    <row r="49" spans="1:10" x14ac:dyDescent="0.3">
      <c r="A49" t="str">
        <f>IF($C49="","",Dashboard!$B$3)</f>
        <v>Kelly</v>
      </c>
      <c r="B49" t="str">
        <f t="shared" si="2"/>
        <v>DECEMBER</v>
      </c>
      <c r="C49" t="s">
        <v>279</v>
      </c>
      <c r="D49" s="6">
        <v>6643.4449999999997</v>
      </c>
      <c r="E49" t="s">
        <v>208</v>
      </c>
      <c r="F49" s="7">
        <f t="shared" si="0"/>
        <v>0.1</v>
      </c>
      <c r="G49" s="6">
        <f t="shared" si="1"/>
        <v>664.34450000000004</v>
      </c>
      <c r="H49" t="s">
        <v>36</v>
      </c>
      <c r="I49" s="5">
        <v>45291</v>
      </c>
    </row>
    <row r="50" spans="1:10" x14ac:dyDescent="0.3">
      <c r="A50" t="str">
        <f>IF($C50="","",Dashboard!$B$3)</f>
        <v>Kelly</v>
      </c>
      <c r="B50" t="str">
        <f t="shared" si="2"/>
        <v>DECEMBER</v>
      </c>
      <c r="C50" t="s">
        <v>280</v>
      </c>
      <c r="D50" s="6">
        <v>10879.93</v>
      </c>
      <c r="E50" t="s">
        <v>208</v>
      </c>
      <c r="F50" s="7">
        <f t="shared" si="0"/>
        <v>0.1</v>
      </c>
      <c r="G50" s="6">
        <f t="shared" si="1"/>
        <v>1087.9930000000002</v>
      </c>
      <c r="H50" t="s">
        <v>36</v>
      </c>
      <c r="I50" s="5">
        <v>45291</v>
      </c>
    </row>
    <row r="51" spans="1:10" x14ac:dyDescent="0.3">
      <c r="A51" t="str">
        <f>IF($C51="","",Dashboard!$B$3)</f>
        <v>Kelly</v>
      </c>
      <c r="B51" t="str">
        <f t="shared" si="2"/>
        <v>DECEMBER</v>
      </c>
      <c r="C51" t="s">
        <v>281</v>
      </c>
      <c r="D51" s="6">
        <v>9703.48</v>
      </c>
      <c r="E51" t="s">
        <v>208</v>
      </c>
      <c r="F51" s="7">
        <f t="shared" si="0"/>
        <v>0.1</v>
      </c>
      <c r="G51" s="6">
        <f t="shared" si="1"/>
        <v>970.34799999999996</v>
      </c>
      <c r="H51" t="s">
        <v>36</v>
      </c>
      <c r="I51" s="5">
        <v>45291</v>
      </c>
    </row>
    <row r="52" spans="1:10" x14ac:dyDescent="0.3">
      <c r="A52" t="str">
        <f>IF($C52="","",Dashboard!$B$3)</f>
        <v>Kelly</v>
      </c>
      <c r="B52" t="str">
        <f t="shared" si="2"/>
        <v>DECEMBER</v>
      </c>
      <c r="C52" t="s">
        <v>282</v>
      </c>
      <c r="D52" s="6">
        <v>9592.16</v>
      </c>
      <c r="E52" t="s">
        <v>208</v>
      </c>
      <c r="F52" s="7">
        <f t="shared" si="0"/>
        <v>0.1</v>
      </c>
      <c r="G52" s="6">
        <f t="shared" si="1"/>
        <v>959.21600000000001</v>
      </c>
      <c r="H52" t="s">
        <v>36</v>
      </c>
      <c r="I52" s="5">
        <v>45291</v>
      </c>
    </row>
    <row r="53" spans="1:10" x14ac:dyDescent="0.3">
      <c r="A53" t="str">
        <f>IF($C53="","",Dashboard!$B$3)</f>
        <v>Kelly</v>
      </c>
      <c r="B53" t="str">
        <f t="shared" si="2"/>
        <v>DECEMBER</v>
      </c>
      <c r="C53" t="s">
        <v>283</v>
      </c>
      <c r="D53" s="6">
        <v>13103.8</v>
      </c>
      <c r="E53" t="s">
        <v>208</v>
      </c>
      <c r="F53" s="7">
        <f t="shared" si="0"/>
        <v>0.1</v>
      </c>
      <c r="G53" s="6">
        <f t="shared" si="1"/>
        <v>1310.3800000000001</v>
      </c>
      <c r="H53" t="s">
        <v>36</v>
      </c>
      <c r="I53" s="5">
        <v>45291</v>
      </c>
    </row>
    <row r="54" spans="1:10" x14ac:dyDescent="0.3">
      <c r="A54" t="str">
        <f>IF($C54="","",Dashboard!$B$3)</f>
        <v>Kelly</v>
      </c>
      <c r="B54" t="str">
        <f t="shared" si="2"/>
        <v>DECEMBER</v>
      </c>
      <c r="C54" t="s">
        <v>284</v>
      </c>
      <c r="D54" s="6">
        <v>11078.535</v>
      </c>
      <c r="E54" t="s">
        <v>207</v>
      </c>
      <c r="F54" s="7">
        <f t="shared" si="0"/>
        <v>0.4</v>
      </c>
      <c r="G54" s="6">
        <f t="shared" si="1"/>
        <v>4431.4139999999998</v>
      </c>
      <c r="H54" t="s">
        <v>14</v>
      </c>
      <c r="I54" s="5">
        <v>45291</v>
      </c>
      <c r="J54" s="1" t="s">
        <v>285</v>
      </c>
    </row>
    <row r="55" spans="1:10" x14ac:dyDescent="0.3">
      <c r="A55" t="str">
        <f>IF($C55="","",Dashboard!$B$3)</f>
        <v>Kelly</v>
      </c>
      <c r="B55" t="str">
        <f t="shared" ref="B55:B60" si="3">IF($I55="","",UPPER(TEXT($I55,"mmmm")))</f>
        <v>DECEMBER</v>
      </c>
      <c r="C55" t="s">
        <v>286</v>
      </c>
      <c r="D55" s="6">
        <v>18827.925000000003</v>
      </c>
      <c r="E55" t="s">
        <v>207</v>
      </c>
      <c r="F55" s="7">
        <f t="shared" ref="F55:F60" si="4">IF($E55="","",IF($E55="IDENTIFIED",10%,IF($E55="QUALIFIED",40%,IF($E55="PROPOSAL",75%,100%))))</f>
        <v>0.4</v>
      </c>
      <c r="G55" s="6">
        <f t="shared" ref="G55:G60" si="5">IF(F55="","",D55*F55)</f>
        <v>7531.1700000000019</v>
      </c>
      <c r="H55" t="s">
        <v>14</v>
      </c>
      <c r="I55" s="5">
        <v>45291</v>
      </c>
      <c r="J55" s="1" t="s">
        <v>287</v>
      </c>
    </row>
    <row r="56" spans="1:10" x14ac:dyDescent="0.3">
      <c r="A56" t="str">
        <f>IF($C56="","",Dashboard!$B$3)</f>
        <v>Kelly</v>
      </c>
      <c r="B56" t="str">
        <f t="shared" si="3"/>
        <v>DECEMBER</v>
      </c>
      <c r="C56" t="s">
        <v>288</v>
      </c>
      <c r="D56" s="6">
        <v>15000</v>
      </c>
      <c r="E56" t="s">
        <v>207</v>
      </c>
      <c r="F56" s="7">
        <f t="shared" si="4"/>
        <v>0.4</v>
      </c>
      <c r="G56" s="6">
        <f t="shared" si="5"/>
        <v>6000</v>
      </c>
      <c r="H56" t="s">
        <v>14</v>
      </c>
      <c r="I56" s="5">
        <v>45291</v>
      </c>
    </row>
    <row r="57" spans="1:10" x14ac:dyDescent="0.3">
      <c r="A57" t="str">
        <f>IF($C57="","",Dashboard!$B$3)</f>
        <v>Kelly</v>
      </c>
      <c r="B57" t="str">
        <f t="shared" si="3"/>
        <v>DECEMBER</v>
      </c>
      <c r="C57" t="s">
        <v>289</v>
      </c>
      <c r="D57" s="6">
        <v>12000</v>
      </c>
      <c r="E57" t="s">
        <v>207</v>
      </c>
      <c r="F57" s="7">
        <f t="shared" si="4"/>
        <v>0.4</v>
      </c>
      <c r="G57" s="6">
        <f t="shared" si="5"/>
        <v>4800</v>
      </c>
      <c r="H57" t="s">
        <v>14</v>
      </c>
      <c r="I57" s="5">
        <v>45291</v>
      </c>
      <c r="J57" s="1" t="s">
        <v>285</v>
      </c>
    </row>
    <row r="58" spans="1:10" x14ac:dyDescent="0.3">
      <c r="A58" t="str">
        <f>IF($C58="","",Dashboard!$B$3)</f>
        <v>Kelly</v>
      </c>
      <c r="B58" t="str">
        <f t="shared" si="3"/>
        <v>DECEMBER</v>
      </c>
      <c r="C58" t="s">
        <v>290</v>
      </c>
      <c r="D58" s="6">
        <v>15500</v>
      </c>
      <c r="E58" t="s">
        <v>207</v>
      </c>
      <c r="F58" s="7">
        <f t="shared" si="4"/>
        <v>0.4</v>
      </c>
      <c r="G58" s="6">
        <f t="shared" si="5"/>
        <v>6200</v>
      </c>
      <c r="H58" t="s">
        <v>14</v>
      </c>
      <c r="I58" s="5">
        <v>45291</v>
      </c>
    </row>
    <row r="59" spans="1:10" x14ac:dyDescent="0.3">
      <c r="A59" t="str">
        <f>IF($C59="","",Dashboard!$B$3)</f>
        <v>Kelly</v>
      </c>
      <c r="B59" t="str">
        <f t="shared" si="3"/>
        <v>DECEMBER</v>
      </c>
      <c r="C59" t="s">
        <v>291</v>
      </c>
      <c r="D59" s="6">
        <v>7000</v>
      </c>
      <c r="E59" t="s">
        <v>207</v>
      </c>
      <c r="F59" s="7">
        <f t="shared" si="4"/>
        <v>0.4</v>
      </c>
      <c r="G59" s="6">
        <f t="shared" si="5"/>
        <v>2800</v>
      </c>
      <c r="H59" t="s">
        <v>14</v>
      </c>
      <c r="I59" s="5">
        <v>45291</v>
      </c>
    </row>
    <row r="60" spans="1:10" x14ac:dyDescent="0.3">
      <c r="A60" t="str">
        <f>IF($C60="","",Dashboard!$B$3)</f>
        <v>Kelly</v>
      </c>
      <c r="B60" t="str">
        <f t="shared" si="3"/>
        <v>DECEMBER</v>
      </c>
      <c r="C60" t="s">
        <v>249</v>
      </c>
      <c r="D60" s="6">
        <v>10000</v>
      </c>
      <c r="E60" t="s">
        <v>207</v>
      </c>
      <c r="F60" s="7">
        <f t="shared" si="4"/>
        <v>0.4</v>
      </c>
      <c r="G60" s="6">
        <f t="shared" si="5"/>
        <v>4000</v>
      </c>
      <c r="H60" t="s">
        <v>14</v>
      </c>
      <c r="I60" s="5">
        <v>45291</v>
      </c>
    </row>
    <row r="61" spans="1:10" x14ac:dyDescent="0.3">
      <c r="A61" t="str">
        <f>IF($C61="","",Dashboard!$B$3)</f>
        <v>Kelly</v>
      </c>
      <c r="B61" t="str">
        <f>IF($I61="","",UPPER(TEXT($I61,"mmmm")))</f>
        <v/>
      </c>
      <c r="C61" t="s">
        <v>343</v>
      </c>
      <c r="F61" s="7" t="str">
        <f>IF($E61="","",IF($E61="IDENTIFIED",10%,IF($E61="QUALIFIED",40%,IF($E61="PROPOSAL",75%,100%))))</f>
        <v/>
      </c>
      <c r="G61" s="6" t="str">
        <f>IF(F61="","",D61*F61)</f>
        <v/>
      </c>
    </row>
  </sheetData>
  <conditionalFormatting sqref="D4:D999">
    <cfRule type="expression" dxfId="21" priority="1">
      <formula>AND($C4&lt;&gt;"",$D4="")</formula>
    </cfRule>
  </conditionalFormatting>
  <conditionalFormatting sqref="E4:E999">
    <cfRule type="expression" dxfId="20" priority="2">
      <formula>AND($C4&lt;&gt;"",$E4="")</formula>
    </cfRule>
  </conditionalFormatting>
  <conditionalFormatting sqref="H4:H999">
    <cfRule type="expression" dxfId="19" priority="3">
      <formula>AND($C4&lt;&gt;"",$H4="")</formula>
    </cfRule>
  </conditionalFormatting>
  <conditionalFormatting sqref="I4:I999">
    <cfRule type="expression" dxfId="18" priority="4">
      <formula>AND($C4&lt;&gt;"",$I4="")</formula>
    </cfRule>
  </conditionalFormatting>
  <dataValidations count="2">
    <dataValidation type="list" allowBlank="1" showInputMessage="1" showErrorMessage="1" sqref="E4:E61" xr:uid="{379CBE7A-4030-46A2-B927-586E8E51B159}">
      <formula1>"IDENTIFIED,QUALIFIED,PROPOSAL,WON,LOST"</formula1>
    </dataValidation>
    <dataValidation type="list" allowBlank="1" showInputMessage="1" showErrorMessage="1" sqref="H4:H61" xr:uid="{BA6D46B9-9422-4F42-908A-EDE2A5F07A24}">
      <formula1>"RENEWAL,AD-HOC,NEW BUSINESS"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D8A85-3491-4FF5-AF2B-0F52761B8A38}">
  <sheetPr codeName="Sheet4"/>
  <dimension ref="A1:L214"/>
  <sheetViews>
    <sheetView showGridLines="0" topLeftCell="C1" workbookViewId="0">
      <selection activeCell="B1" sqref="A1:B1048576"/>
    </sheetView>
  </sheetViews>
  <sheetFormatPr defaultRowHeight="14.4" x14ac:dyDescent="0.3"/>
  <cols>
    <col min="1" max="1" width="17.88671875" hidden="1" customWidth="1"/>
    <col min="2" max="2" width="13.109375" hidden="1" customWidth="1"/>
    <col min="3" max="3" width="34.109375" customWidth="1"/>
    <col min="4" max="4" width="17" style="6" customWidth="1"/>
    <col min="5" max="5" width="15.6640625" hidden="1" customWidth="1"/>
    <col min="6" max="6" width="15.33203125" style="7" hidden="1" customWidth="1"/>
    <col min="7" max="7" width="21" style="6" hidden="1" customWidth="1"/>
    <col min="8" max="8" width="18.5546875" customWidth="1"/>
    <col min="9" max="9" width="22.5546875" style="5" customWidth="1"/>
    <col min="10" max="10" width="45" style="1" customWidth="1"/>
    <col min="11" max="11" width="14.6640625" style="6" customWidth="1"/>
    <col min="12" max="12" width="15.88671875" customWidth="1"/>
  </cols>
  <sheetData>
    <row r="1" spans="1:12" ht="121.5" customHeight="1" x14ac:dyDescent="0.3"/>
    <row r="2" spans="1:12" ht="19.95" customHeight="1" x14ac:dyDescent="0.3"/>
    <row r="3" spans="1:12" x14ac:dyDescent="0.3">
      <c r="A3" s="3" t="s">
        <v>0</v>
      </c>
      <c r="B3" s="3" t="s">
        <v>1</v>
      </c>
      <c r="C3" s="3" t="s">
        <v>2</v>
      </c>
      <c r="D3" s="11" t="s">
        <v>3</v>
      </c>
      <c r="E3" s="3" t="s">
        <v>4</v>
      </c>
      <c r="F3" s="10" t="s">
        <v>5</v>
      </c>
      <c r="G3" s="11" t="s">
        <v>6</v>
      </c>
      <c r="H3" s="3" t="s">
        <v>7</v>
      </c>
      <c r="I3" s="12" t="s">
        <v>8</v>
      </c>
      <c r="J3" s="9" t="s">
        <v>9</v>
      </c>
      <c r="K3" s="11" t="s">
        <v>301</v>
      </c>
      <c r="L3" s="3" t="s">
        <v>302</v>
      </c>
    </row>
    <row r="4" spans="1:12" x14ac:dyDescent="0.3">
      <c r="A4" t="str">
        <f>IF($C4="","",Dashboard!$B$3)</f>
        <v>Kelly</v>
      </c>
      <c r="B4" t="str">
        <f>IF($I4="","",UPPER(TEXT($I4,"mmmm")))</f>
        <v>JANUARY</v>
      </c>
      <c r="C4" t="s">
        <v>12</v>
      </c>
      <c r="D4" s="6">
        <v>14965</v>
      </c>
      <c r="H4" t="s">
        <v>14</v>
      </c>
      <c r="I4" s="5">
        <v>44927</v>
      </c>
      <c r="K4" s="6" cm="1">
        <f t="array" ref="K4">_xlfn.IFS(Won[[#This Row],[SALES CHANNEL]]="RENEWAL",Won[[#This Row],[DEAL SIZE]]*Dashboard!$B$7,Won[[#This Row],[SALES CHANNEL]]="AD-HOC",Won[[#This Row],[DEAL SIZE]]*Dashboard!$B$8,Won[[#This Row],[SALES CHANNEL]]="NEW BUSINESS",Won[[#This Row],[DEAL SIZE]]*Dashboard!$B$9)</f>
        <v>1496.5</v>
      </c>
      <c r="L4" t="s">
        <v>340</v>
      </c>
    </row>
    <row r="5" spans="1:12" x14ac:dyDescent="0.3">
      <c r="A5" t="str">
        <f>IF($C5="","",Dashboard!$B$3)</f>
        <v>Kelly</v>
      </c>
      <c r="B5" t="str">
        <f t="shared" ref="B5:B68" si="0">IF($I5="","",UPPER(TEXT($I5,"mmmm")))</f>
        <v>JANUARY</v>
      </c>
      <c r="C5" t="s">
        <v>16</v>
      </c>
      <c r="D5" s="6">
        <v>16549</v>
      </c>
      <c r="H5" t="s">
        <v>36</v>
      </c>
      <c r="I5" s="5">
        <v>44927</v>
      </c>
      <c r="K5" s="6" cm="1">
        <f t="array" ref="K5">_xlfn.IFS(Won[[#This Row],[SALES CHANNEL]]="RENEWAL",Won[[#This Row],[DEAL SIZE]]*Dashboard!$B$7,Won[[#This Row],[SALES CHANNEL]]="AD-HOC",Won[[#This Row],[DEAL SIZE]]*Dashboard!$B$8,Won[[#This Row],[SALES CHANNEL]]="NEW BUSINESS",Won[[#This Row],[DEAL SIZE]]*Dashboard!$B$9)</f>
        <v>3309.8</v>
      </c>
      <c r="L5" t="s">
        <v>339</v>
      </c>
    </row>
    <row r="6" spans="1:12" x14ac:dyDescent="0.3">
      <c r="A6" t="str">
        <f>IF($C6="","",Dashboard!$B$3)</f>
        <v>Kelly</v>
      </c>
      <c r="B6" t="str">
        <f t="shared" si="0"/>
        <v>JANUARY</v>
      </c>
      <c r="C6" t="s">
        <v>18</v>
      </c>
      <c r="D6" s="6">
        <v>12285</v>
      </c>
      <c r="H6" t="s">
        <v>28</v>
      </c>
      <c r="I6" s="5">
        <v>44927</v>
      </c>
      <c r="K6" s="6" cm="1">
        <f t="array" ref="K6">_xlfn.IFS(Won[[#This Row],[SALES CHANNEL]]="RENEWAL",Won[[#This Row],[DEAL SIZE]]*Dashboard!$B$7,Won[[#This Row],[SALES CHANNEL]]="AD-HOC",Won[[#This Row],[DEAL SIZE]]*Dashboard!$B$8,Won[[#This Row],[SALES CHANNEL]]="NEW BUSINESS",Won[[#This Row],[DEAL SIZE]]*Dashboard!$B$9)</f>
        <v>614.25</v>
      </c>
      <c r="L6" t="s">
        <v>341</v>
      </c>
    </row>
    <row r="7" spans="1:12" x14ac:dyDescent="0.3">
      <c r="A7" t="str">
        <f>IF($C7="","",Dashboard!$B$3)</f>
        <v>Kelly</v>
      </c>
      <c r="B7" t="str">
        <f t="shared" si="0"/>
        <v>JANUARY</v>
      </c>
      <c r="C7" t="s">
        <v>19</v>
      </c>
      <c r="D7" s="6">
        <v>10768</v>
      </c>
      <c r="H7" t="s">
        <v>14</v>
      </c>
      <c r="I7" s="5">
        <v>44927</v>
      </c>
      <c r="K7" s="6" cm="1">
        <f t="array" ref="K7">_xlfn.IFS(Won[[#This Row],[SALES CHANNEL]]="RENEWAL",Won[[#This Row],[DEAL SIZE]]*Dashboard!$B$7,Won[[#This Row],[SALES CHANNEL]]="AD-HOC",Won[[#This Row],[DEAL SIZE]]*Dashboard!$B$8,Won[[#This Row],[SALES CHANNEL]]="NEW BUSINESS",Won[[#This Row],[DEAL SIZE]]*Dashboard!$B$9)</f>
        <v>1076.8</v>
      </c>
      <c r="L7" t="s">
        <v>340</v>
      </c>
    </row>
    <row r="8" spans="1:12" x14ac:dyDescent="0.3">
      <c r="A8" t="str">
        <f>IF($C8="","",Dashboard!$B$3)</f>
        <v>Kelly</v>
      </c>
      <c r="B8" t="str">
        <f t="shared" si="0"/>
        <v>JANUARY</v>
      </c>
      <c r="C8" t="s">
        <v>20</v>
      </c>
      <c r="D8" s="6">
        <v>15822</v>
      </c>
      <c r="H8" t="s">
        <v>36</v>
      </c>
      <c r="I8" s="5">
        <v>44927</v>
      </c>
      <c r="K8" s="6" cm="1">
        <f t="array" ref="K8">_xlfn.IFS(Won[[#This Row],[SALES CHANNEL]]="RENEWAL",Won[[#This Row],[DEAL SIZE]]*Dashboard!$B$7,Won[[#This Row],[SALES CHANNEL]]="AD-HOC",Won[[#This Row],[DEAL SIZE]]*Dashboard!$B$8,Won[[#This Row],[SALES CHANNEL]]="NEW BUSINESS",Won[[#This Row],[DEAL SIZE]]*Dashboard!$B$9)</f>
        <v>3164.4</v>
      </c>
    </row>
    <row r="9" spans="1:12" x14ac:dyDescent="0.3">
      <c r="A9" t="str">
        <f>IF($C9="","",Dashboard!$B$3)</f>
        <v>Kelly</v>
      </c>
      <c r="B9" t="str">
        <f t="shared" si="0"/>
        <v>JANUARY</v>
      </c>
      <c r="C9" t="s">
        <v>23</v>
      </c>
      <c r="D9" s="6">
        <v>16723</v>
      </c>
      <c r="H9" t="s">
        <v>14</v>
      </c>
      <c r="I9" s="5">
        <v>44927</v>
      </c>
      <c r="K9" s="6" cm="1">
        <f t="array" ref="K9">_xlfn.IFS(Won[[#This Row],[SALES CHANNEL]]="RENEWAL",Won[[#This Row],[DEAL SIZE]]*Dashboard!$B$7,Won[[#This Row],[SALES CHANNEL]]="AD-HOC",Won[[#This Row],[DEAL SIZE]]*Dashboard!$B$8,Won[[#This Row],[SALES CHANNEL]]="NEW BUSINESS",Won[[#This Row],[DEAL SIZE]]*Dashboard!$B$9)</f>
        <v>1672.3000000000002</v>
      </c>
    </row>
    <row r="10" spans="1:12" x14ac:dyDescent="0.3">
      <c r="A10" t="str">
        <f>IF($C10="","",Dashboard!$B$3)</f>
        <v>Kelly</v>
      </c>
      <c r="B10" t="str">
        <f t="shared" si="0"/>
        <v>JANUARY</v>
      </c>
      <c r="C10" t="s">
        <v>25</v>
      </c>
      <c r="D10" s="6">
        <v>30000</v>
      </c>
      <c r="H10" t="s">
        <v>14</v>
      </c>
      <c r="I10" s="5">
        <v>44927</v>
      </c>
      <c r="K10" s="6" cm="1">
        <f t="array" ref="K10">_xlfn.IFS(Won[[#This Row],[SALES CHANNEL]]="RENEWAL",Won[[#This Row],[DEAL SIZE]]*Dashboard!$B$7,Won[[#This Row],[SALES CHANNEL]]="AD-HOC",Won[[#This Row],[DEAL SIZE]]*Dashboard!$B$8,Won[[#This Row],[SALES CHANNEL]]="NEW BUSINESS",Won[[#This Row],[DEAL SIZE]]*Dashboard!$B$9)</f>
        <v>3000</v>
      </c>
    </row>
    <row r="11" spans="1:12" x14ac:dyDescent="0.3">
      <c r="A11" t="str">
        <f>IF($C11="","",Dashboard!$B$3)</f>
        <v>Kelly</v>
      </c>
      <c r="B11" t="str">
        <f t="shared" si="0"/>
        <v>JANUARY</v>
      </c>
      <c r="C11" t="s">
        <v>27</v>
      </c>
      <c r="D11" s="6">
        <v>15344</v>
      </c>
      <c r="H11" t="s">
        <v>28</v>
      </c>
      <c r="I11" s="5">
        <v>44927</v>
      </c>
      <c r="K11" s="6" cm="1">
        <f t="array" ref="K11">_xlfn.IFS(Won[[#This Row],[SALES CHANNEL]]="RENEWAL",Won[[#This Row],[DEAL SIZE]]*Dashboard!$B$7,Won[[#This Row],[SALES CHANNEL]]="AD-HOC",Won[[#This Row],[DEAL SIZE]]*Dashboard!$B$8,Won[[#This Row],[SALES CHANNEL]]="NEW BUSINESS",Won[[#This Row],[DEAL SIZE]]*Dashboard!$B$9)</f>
        <v>767.2</v>
      </c>
    </row>
    <row r="12" spans="1:12" x14ac:dyDescent="0.3">
      <c r="A12" t="str">
        <f>IF($C12="","",Dashboard!$B$3)</f>
        <v>Kelly</v>
      </c>
      <c r="B12" t="str">
        <f t="shared" si="0"/>
        <v>JANUARY</v>
      </c>
      <c r="C12" t="s">
        <v>29</v>
      </c>
      <c r="D12" s="6">
        <v>19134</v>
      </c>
      <c r="H12" t="s">
        <v>28</v>
      </c>
      <c r="I12" s="5">
        <v>44934</v>
      </c>
      <c r="K12" s="6" cm="1">
        <f t="array" ref="K12">_xlfn.IFS(Won[[#This Row],[SALES CHANNEL]]="RENEWAL",Won[[#This Row],[DEAL SIZE]]*Dashboard!$B$7,Won[[#This Row],[SALES CHANNEL]]="AD-HOC",Won[[#This Row],[DEAL SIZE]]*Dashboard!$B$8,Won[[#This Row],[SALES CHANNEL]]="NEW BUSINESS",Won[[#This Row],[DEAL SIZE]]*Dashboard!$B$9)</f>
        <v>956.7</v>
      </c>
    </row>
    <row r="13" spans="1:12" x14ac:dyDescent="0.3">
      <c r="A13" t="str">
        <f>IF($C13="","",Dashboard!$B$3)</f>
        <v>Kelly</v>
      </c>
      <c r="B13" t="str">
        <f t="shared" si="0"/>
        <v>JANUARY</v>
      </c>
      <c r="C13" t="s">
        <v>31</v>
      </c>
      <c r="D13" s="6">
        <v>20000</v>
      </c>
      <c r="H13" t="s">
        <v>28</v>
      </c>
      <c r="I13" s="5">
        <v>44934</v>
      </c>
      <c r="K13" s="6" cm="1">
        <f t="array" ref="K13">_xlfn.IFS(Won[[#This Row],[SALES CHANNEL]]="RENEWAL",Won[[#This Row],[DEAL SIZE]]*Dashboard!$B$7,Won[[#This Row],[SALES CHANNEL]]="AD-HOC",Won[[#This Row],[DEAL SIZE]]*Dashboard!$B$8,Won[[#This Row],[SALES CHANNEL]]="NEW BUSINESS",Won[[#This Row],[DEAL SIZE]]*Dashboard!$B$9)</f>
        <v>1000</v>
      </c>
    </row>
    <row r="14" spans="1:12" x14ac:dyDescent="0.3">
      <c r="A14" t="str">
        <f>IF($C14="","",Dashboard!$B$3)</f>
        <v>Kelly</v>
      </c>
      <c r="B14" t="str">
        <f t="shared" si="0"/>
        <v>JANUARY</v>
      </c>
      <c r="C14" t="s">
        <v>33</v>
      </c>
      <c r="D14" s="6">
        <v>18892</v>
      </c>
      <c r="H14" t="s">
        <v>14</v>
      </c>
      <c r="I14" s="5">
        <v>44935</v>
      </c>
      <c r="K14" s="6" cm="1">
        <f t="array" ref="K14">_xlfn.IFS(Won[[#This Row],[SALES CHANNEL]]="RENEWAL",Won[[#This Row],[DEAL SIZE]]*Dashboard!$B$7,Won[[#This Row],[SALES CHANNEL]]="AD-HOC",Won[[#This Row],[DEAL SIZE]]*Dashboard!$B$8,Won[[#This Row],[SALES CHANNEL]]="NEW BUSINESS",Won[[#This Row],[DEAL SIZE]]*Dashboard!$B$9)</f>
        <v>1889.2</v>
      </c>
    </row>
    <row r="15" spans="1:12" x14ac:dyDescent="0.3">
      <c r="A15" t="str">
        <f>IF($C15="","",Dashboard!$B$3)</f>
        <v>Kelly</v>
      </c>
      <c r="B15" t="str">
        <f t="shared" si="0"/>
        <v>JANUARY</v>
      </c>
      <c r="C15" t="s">
        <v>34</v>
      </c>
      <c r="D15" s="6">
        <v>16198</v>
      </c>
      <c r="H15" t="s">
        <v>14</v>
      </c>
      <c r="I15" s="5">
        <v>44938</v>
      </c>
      <c r="K15" s="6" cm="1">
        <f t="array" ref="K15">_xlfn.IFS(Won[[#This Row],[SALES CHANNEL]]="RENEWAL",Won[[#This Row],[DEAL SIZE]]*Dashboard!$B$7,Won[[#This Row],[SALES CHANNEL]]="AD-HOC",Won[[#This Row],[DEAL SIZE]]*Dashboard!$B$8,Won[[#This Row],[SALES CHANNEL]]="NEW BUSINESS",Won[[#This Row],[DEAL SIZE]]*Dashboard!$B$9)</f>
        <v>1619.8000000000002</v>
      </c>
    </row>
    <row r="16" spans="1:12" x14ac:dyDescent="0.3">
      <c r="A16" t="str">
        <f>IF($C16="","",Dashboard!$B$3)</f>
        <v>Kelly</v>
      </c>
      <c r="B16" t="str">
        <f t="shared" si="0"/>
        <v>JANUARY</v>
      </c>
      <c r="C16" t="s">
        <v>35</v>
      </c>
      <c r="D16" s="6">
        <v>9556</v>
      </c>
      <c r="H16" t="s">
        <v>36</v>
      </c>
      <c r="I16" s="5">
        <v>44938</v>
      </c>
      <c r="K16" s="6" cm="1">
        <f t="array" ref="K16">_xlfn.IFS(Won[[#This Row],[SALES CHANNEL]]="RENEWAL",Won[[#This Row],[DEAL SIZE]]*Dashboard!$B$7,Won[[#This Row],[SALES CHANNEL]]="AD-HOC",Won[[#This Row],[DEAL SIZE]]*Dashboard!$B$8,Won[[#This Row],[SALES CHANNEL]]="NEW BUSINESS",Won[[#This Row],[DEAL SIZE]]*Dashboard!$B$9)</f>
        <v>1911.2</v>
      </c>
    </row>
    <row r="17" spans="1:11" x14ac:dyDescent="0.3">
      <c r="A17" t="str">
        <f>IF($C17="","",Dashboard!$B$3)</f>
        <v>Kelly</v>
      </c>
      <c r="B17" t="str">
        <f t="shared" si="0"/>
        <v>JANUARY</v>
      </c>
      <c r="C17" t="s">
        <v>37</v>
      </c>
      <c r="D17" s="6">
        <v>8317</v>
      </c>
      <c r="H17" t="s">
        <v>36</v>
      </c>
      <c r="I17" s="5">
        <v>44938</v>
      </c>
      <c r="K17" s="6" cm="1">
        <f t="array" ref="K17">_xlfn.IFS(Won[[#This Row],[SALES CHANNEL]]="RENEWAL",Won[[#This Row],[DEAL SIZE]]*Dashboard!$B$7,Won[[#This Row],[SALES CHANNEL]]="AD-HOC",Won[[#This Row],[DEAL SIZE]]*Dashboard!$B$8,Won[[#This Row],[SALES CHANNEL]]="NEW BUSINESS",Won[[#This Row],[DEAL SIZE]]*Dashboard!$B$9)</f>
        <v>1663.4</v>
      </c>
    </row>
    <row r="18" spans="1:11" x14ac:dyDescent="0.3">
      <c r="A18" t="str">
        <f>IF($C18="","",Dashboard!$B$3)</f>
        <v>Kelly</v>
      </c>
      <c r="B18" t="str">
        <f t="shared" si="0"/>
        <v>JANUARY</v>
      </c>
      <c r="C18" t="s">
        <v>38</v>
      </c>
      <c r="D18" s="6">
        <v>5388</v>
      </c>
      <c r="H18" t="s">
        <v>14</v>
      </c>
      <c r="I18" s="5">
        <v>44941</v>
      </c>
      <c r="K18" s="6" cm="1">
        <f t="array" ref="K18">_xlfn.IFS(Won[[#This Row],[SALES CHANNEL]]="RENEWAL",Won[[#This Row],[DEAL SIZE]]*Dashboard!$B$7,Won[[#This Row],[SALES CHANNEL]]="AD-HOC",Won[[#This Row],[DEAL SIZE]]*Dashboard!$B$8,Won[[#This Row],[SALES CHANNEL]]="NEW BUSINESS",Won[[#This Row],[DEAL SIZE]]*Dashboard!$B$9)</f>
        <v>538.80000000000007</v>
      </c>
    </row>
    <row r="19" spans="1:11" x14ac:dyDescent="0.3">
      <c r="A19" t="str">
        <f>IF($C19="","",Dashboard!$B$3)</f>
        <v>Kelly</v>
      </c>
      <c r="B19" t="str">
        <f t="shared" si="0"/>
        <v>JANUARY</v>
      </c>
      <c r="C19" t="s">
        <v>39</v>
      </c>
      <c r="D19" s="6">
        <v>9709</v>
      </c>
      <c r="H19" t="s">
        <v>28</v>
      </c>
      <c r="I19" s="5">
        <v>44941</v>
      </c>
      <c r="K19" s="6" cm="1">
        <f t="array" ref="K19">_xlfn.IFS(Won[[#This Row],[SALES CHANNEL]]="RENEWAL",Won[[#This Row],[DEAL SIZE]]*Dashboard!$B$7,Won[[#This Row],[SALES CHANNEL]]="AD-HOC",Won[[#This Row],[DEAL SIZE]]*Dashboard!$B$8,Won[[#This Row],[SALES CHANNEL]]="NEW BUSINESS",Won[[#This Row],[DEAL SIZE]]*Dashboard!$B$9)</f>
        <v>485.45000000000005</v>
      </c>
    </row>
    <row r="20" spans="1:11" x14ac:dyDescent="0.3">
      <c r="A20" t="str">
        <f>IF($C20="","",Dashboard!$B$3)</f>
        <v>Kelly</v>
      </c>
      <c r="B20" t="str">
        <f t="shared" si="0"/>
        <v>JANUARY</v>
      </c>
      <c r="C20" t="s">
        <v>40</v>
      </c>
      <c r="D20" s="6">
        <v>17174</v>
      </c>
      <c r="H20" t="s">
        <v>28</v>
      </c>
      <c r="I20" s="5">
        <v>44941</v>
      </c>
      <c r="K20" s="6" cm="1">
        <f t="array" ref="K20">_xlfn.IFS(Won[[#This Row],[SALES CHANNEL]]="RENEWAL",Won[[#This Row],[DEAL SIZE]]*Dashboard!$B$7,Won[[#This Row],[SALES CHANNEL]]="AD-HOC",Won[[#This Row],[DEAL SIZE]]*Dashboard!$B$8,Won[[#This Row],[SALES CHANNEL]]="NEW BUSINESS",Won[[#This Row],[DEAL SIZE]]*Dashboard!$B$9)</f>
        <v>858.7</v>
      </c>
    </row>
    <row r="21" spans="1:11" x14ac:dyDescent="0.3">
      <c r="A21" t="str">
        <f>IF($C21="","",Dashboard!$B$3)</f>
        <v>Kelly</v>
      </c>
      <c r="B21" t="str">
        <f t="shared" si="0"/>
        <v>JANUARY</v>
      </c>
      <c r="C21" t="s">
        <v>41</v>
      </c>
      <c r="D21" s="6">
        <v>11616</v>
      </c>
      <c r="H21" t="s">
        <v>36</v>
      </c>
      <c r="I21" s="5">
        <v>44941</v>
      </c>
      <c r="K21" s="6" cm="1">
        <f t="array" ref="K21">_xlfn.IFS(Won[[#This Row],[SALES CHANNEL]]="RENEWAL",Won[[#This Row],[DEAL SIZE]]*Dashboard!$B$7,Won[[#This Row],[SALES CHANNEL]]="AD-HOC",Won[[#This Row],[DEAL SIZE]]*Dashboard!$B$8,Won[[#This Row],[SALES CHANNEL]]="NEW BUSINESS",Won[[#This Row],[DEAL SIZE]]*Dashboard!$B$9)</f>
        <v>2323.2000000000003</v>
      </c>
    </row>
    <row r="22" spans="1:11" x14ac:dyDescent="0.3">
      <c r="A22" t="str">
        <f>IF($C22="","",Dashboard!$B$3)</f>
        <v>Kelly</v>
      </c>
      <c r="B22" t="str">
        <f t="shared" si="0"/>
        <v>JANUARY</v>
      </c>
      <c r="C22" t="s">
        <v>41</v>
      </c>
      <c r="D22" s="6">
        <v>10043</v>
      </c>
      <c r="H22" t="s">
        <v>14</v>
      </c>
      <c r="I22" s="5">
        <v>44941</v>
      </c>
      <c r="K22" s="6" cm="1">
        <f t="array" ref="K22">_xlfn.IFS(Won[[#This Row],[SALES CHANNEL]]="RENEWAL",Won[[#This Row],[DEAL SIZE]]*Dashboard!$B$7,Won[[#This Row],[SALES CHANNEL]]="AD-HOC",Won[[#This Row],[DEAL SIZE]]*Dashboard!$B$8,Won[[#This Row],[SALES CHANNEL]]="NEW BUSINESS",Won[[#This Row],[DEAL SIZE]]*Dashboard!$B$9)</f>
        <v>1004.3000000000001</v>
      </c>
    </row>
    <row r="23" spans="1:11" x14ac:dyDescent="0.3">
      <c r="A23" t="str">
        <f>IF($C23="","",Dashboard!$B$3)</f>
        <v>Kelly</v>
      </c>
      <c r="B23" t="str">
        <f t="shared" si="0"/>
        <v>JANUARY</v>
      </c>
      <c r="C23" t="s">
        <v>43</v>
      </c>
      <c r="D23" s="6">
        <v>16225</v>
      </c>
      <c r="H23" t="s">
        <v>28</v>
      </c>
      <c r="I23" s="5">
        <v>44941</v>
      </c>
      <c r="K23" s="6" cm="1">
        <f t="array" ref="K23">_xlfn.IFS(Won[[#This Row],[SALES CHANNEL]]="RENEWAL",Won[[#This Row],[DEAL SIZE]]*Dashboard!$B$7,Won[[#This Row],[SALES CHANNEL]]="AD-HOC",Won[[#This Row],[DEAL SIZE]]*Dashboard!$B$8,Won[[#This Row],[SALES CHANNEL]]="NEW BUSINESS",Won[[#This Row],[DEAL SIZE]]*Dashboard!$B$9)</f>
        <v>811.25</v>
      </c>
    </row>
    <row r="24" spans="1:11" x14ac:dyDescent="0.3">
      <c r="A24" t="str">
        <f>IF($C24="","",Dashboard!$B$3)</f>
        <v>Kelly</v>
      </c>
      <c r="B24" t="str">
        <f t="shared" si="0"/>
        <v>JANUARY</v>
      </c>
      <c r="C24" t="s">
        <v>44</v>
      </c>
      <c r="D24" s="6">
        <v>14216</v>
      </c>
      <c r="H24" t="s">
        <v>28</v>
      </c>
      <c r="I24" s="5">
        <v>44946</v>
      </c>
      <c r="K24" s="6" cm="1">
        <f t="array" ref="K24">_xlfn.IFS(Won[[#This Row],[SALES CHANNEL]]="RENEWAL",Won[[#This Row],[DEAL SIZE]]*Dashboard!$B$7,Won[[#This Row],[SALES CHANNEL]]="AD-HOC",Won[[#This Row],[DEAL SIZE]]*Dashboard!$B$8,Won[[#This Row],[SALES CHANNEL]]="NEW BUSINESS",Won[[#This Row],[DEAL SIZE]]*Dashboard!$B$9)</f>
        <v>710.80000000000007</v>
      </c>
    </row>
    <row r="25" spans="1:11" x14ac:dyDescent="0.3">
      <c r="A25" t="str">
        <f>IF($C25="","",Dashboard!$B$3)</f>
        <v>Kelly</v>
      </c>
      <c r="B25" t="str">
        <f t="shared" si="0"/>
        <v>JANUARY</v>
      </c>
      <c r="C25" t="s">
        <v>45</v>
      </c>
      <c r="D25" s="6">
        <v>18851</v>
      </c>
      <c r="H25" t="s">
        <v>28</v>
      </c>
      <c r="I25" s="5">
        <v>44946</v>
      </c>
      <c r="K25" s="6" cm="1">
        <f t="array" ref="K25">_xlfn.IFS(Won[[#This Row],[SALES CHANNEL]]="RENEWAL",Won[[#This Row],[DEAL SIZE]]*Dashboard!$B$7,Won[[#This Row],[SALES CHANNEL]]="AD-HOC",Won[[#This Row],[DEAL SIZE]]*Dashboard!$B$8,Won[[#This Row],[SALES CHANNEL]]="NEW BUSINESS",Won[[#This Row],[DEAL SIZE]]*Dashboard!$B$9)</f>
        <v>942.55000000000007</v>
      </c>
    </row>
    <row r="26" spans="1:11" x14ac:dyDescent="0.3">
      <c r="A26" t="str">
        <f>IF($C26="","",Dashboard!$B$3)</f>
        <v>Kelly</v>
      </c>
      <c r="B26" t="str">
        <f t="shared" si="0"/>
        <v>JANUARY</v>
      </c>
      <c r="C26" t="s">
        <v>46</v>
      </c>
      <c r="D26" s="6">
        <v>5538</v>
      </c>
      <c r="H26" t="s">
        <v>36</v>
      </c>
      <c r="I26" s="5">
        <v>44946</v>
      </c>
      <c r="K26" s="6" cm="1">
        <f t="array" ref="K26">_xlfn.IFS(Won[[#This Row],[SALES CHANNEL]]="RENEWAL",Won[[#This Row],[DEAL SIZE]]*Dashboard!$B$7,Won[[#This Row],[SALES CHANNEL]]="AD-HOC",Won[[#This Row],[DEAL SIZE]]*Dashboard!$B$8,Won[[#This Row],[SALES CHANNEL]]="NEW BUSINESS",Won[[#This Row],[DEAL SIZE]]*Dashboard!$B$9)</f>
        <v>1107.6000000000001</v>
      </c>
    </row>
    <row r="27" spans="1:11" x14ac:dyDescent="0.3">
      <c r="A27" t="str">
        <f>IF($C27="","",Dashboard!$B$3)</f>
        <v>Kelly</v>
      </c>
      <c r="B27" t="str">
        <f t="shared" si="0"/>
        <v>JANUARY</v>
      </c>
      <c r="C27" t="s">
        <v>47</v>
      </c>
      <c r="D27" s="6">
        <v>17754</v>
      </c>
      <c r="H27" t="s">
        <v>28</v>
      </c>
      <c r="I27" s="5">
        <v>44949</v>
      </c>
      <c r="K27" s="6" cm="1">
        <f t="array" ref="K27">_xlfn.IFS(Won[[#This Row],[SALES CHANNEL]]="RENEWAL",Won[[#This Row],[DEAL SIZE]]*Dashboard!$B$7,Won[[#This Row],[SALES CHANNEL]]="AD-HOC",Won[[#This Row],[DEAL SIZE]]*Dashboard!$B$8,Won[[#This Row],[SALES CHANNEL]]="NEW BUSINESS",Won[[#This Row],[DEAL SIZE]]*Dashboard!$B$9)</f>
        <v>887.7</v>
      </c>
    </row>
    <row r="28" spans="1:11" x14ac:dyDescent="0.3">
      <c r="A28" t="str">
        <f>IF($C28="","",Dashboard!$B$3)</f>
        <v>Kelly</v>
      </c>
      <c r="B28" t="str">
        <f t="shared" si="0"/>
        <v>JANUARY</v>
      </c>
      <c r="C28" t="s">
        <v>48</v>
      </c>
      <c r="D28" s="6">
        <v>16581</v>
      </c>
      <c r="H28" t="s">
        <v>28</v>
      </c>
      <c r="I28" s="5">
        <v>44951</v>
      </c>
      <c r="K28" s="6" cm="1">
        <f t="array" ref="K28">_xlfn.IFS(Won[[#This Row],[SALES CHANNEL]]="RENEWAL",Won[[#This Row],[DEAL SIZE]]*Dashboard!$B$7,Won[[#This Row],[SALES CHANNEL]]="AD-HOC",Won[[#This Row],[DEAL SIZE]]*Dashboard!$B$8,Won[[#This Row],[SALES CHANNEL]]="NEW BUSINESS",Won[[#This Row],[DEAL SIZE]]*Dashboard!$B$9)</f>
        <v>829.05000000000007</v>
      </c>
    </row>
    <row r="29" spans="1:11" x14ac:dyDescent="0.3">
      <c r="A29" t="str">
        <f>IF($C29="","",Dashboard!$B$3)</f>
        <v>Kelly</v>
      </c>
      <c r="B29" t="str">
        <f t="shared" si="0"/>
        <v>JANUARY</v>
      </c>
      <c r="C29" t="s">
        <v>49</v>
      </c>
      <c r="D29" s="6">
        <v>11846</v>
      </c>
      <c r="H29" t="s">
        <v>36</v>
      </c>
      <c r="I29" s="5">
        <v>44951</v>
      </c>
      <c r="K29" s="6" cm="1">
        <f t="array" ref="K29">_xlfn.IFS(Won[[#This Row],[SALES CHANNEL]]="RENEWAL",Won[[#This Row],[DEAL SIZE]]*Dashboard!$B$7,Won[[#This Row],[SALES CHANNEL]]="AD-HOC",Won[[#This Row],[DEAL SIZE]]*Dashboard!$B$8,Won[[#This Row],[SALES CHANNEL]]="NEW BUSINESS",Won[[#This Row],[DEAL SIZE]]*Dashboard!$B$9)</f>
        <v>2369.2000000000003</v>
      </c>
    </row>
    <row r="30" spans="1:11" x14ac:dyDescent="0.3">
      <c r="A30" t="str">
        <f>IF($C30="","",Dashboard!$B$3)</f>
        <v>Kelly</v>
      </c>
      <c r="B30" t="str">
        <f t="shared" si="0"/>
        <v>JANUARY</v>
      </c>
      <c r="C30" t="s">
        <v>50</v>
      </c>
      <c r="D30" s="6">
        <v>5849</v>
      </c>
      <c r="H30" t="s">
        <v>28</v>
      </c>
      <c r="I30" s="5">
        <v>44956</v>
      </c>
      <c r="K30" s="6" cm="1">
        <f t="array" ref="K30">_xlfn.IFS(Won[[#This Row],[SALES CHANNEL]]="RENEWAL",Won[[#This Row],[DEAL SIZE]]*Dashboard!$B$7,Won[[#This Row],[SALES CHANNEL]]="AD-HOC",Won[[#This Row],[DEAL SIZE]]*Dashboard!$B$8,Won[[#This Row],[SALES CHANNEL]]="NEW BUSINESS",Won[[#This Row],[DEAL SIZE]]*Dashboard!$B$9)</f>
        <v>292.45</v>
      </c>
    </row>
    <row r="31" spans="1:11" x14ac:dyDescent="0.3">
      <c r="A31" t="str">
        <f>IF($C31="","",Dashboard!$B$3)</f>
        <v>Kelly</v>
      </c>
      <c r="B31" t="str">
        <f t="shared" si="0"/>
        <v>JANUARY</v>
      </c>
      <c r="C31" t="s">
        <v>51</v>
      </c>
      <c r="D31" s="6">
        <v>9793</v>
      </c>
      <c r="H31" t="s">
        <v>28</v>
      </c>
      <c r="I31" s="5">
        <v>44956</v>
      </c>
      <c r="K31" s="6" cm="1">
        <f t="array" ref="K31">_xlfn.IFS(Won[[#This Row],[SALES CHANNEL]]="RENEWAL",Won[[#This Row],[DEAL SIZE]]*Dashboard!$B$7,Won[[#This Row],[SALES CHANNEL]]="AD-HOC",Won[[#This Row],[DEAL SIZE]]*Dashboard!$B$8,Won[[#This Row],[SALES CHANNEL]]="NEW BUSINESS",Won[[#This Row],[DEAL SIZE]]*Dashboard!$B$9)</f>
        <v>489.65000000000003</v>
      </c>
    </row>
    <row r="32" spans="1:11" x14ac:dyDescent="0.3">
      <c r="A32" t="str">
        <f>IF($C32="","",Dashboard!$B$3)</f>
        <v>Kelly</v>
      </c>
      <c r="B32" t="str">
        <f t="shared" si="0"/>
        <v>JANUARY</v>
      </c>
      <c r="C32" t="s">
        <v>52</v>
      </c>
      <c r="D32" s="6">
        <v>5640</v>
      </c>
      <c r="H32" t="s">
        <v>28</v>
      </c>
      <c r="I32" s="5">
        <v>44956</v>
      </c>
      <c r="K32" s="6" cm="1">
        <f t="array" ref="K32">_xlfn.IFS(Won[[#This Row],[SALES CHANNEL]]="RENEWAL",Won[[#This Row],[DEAL SIZE]]*Dashboard!$B$7,Won[[#This Row],[SALES CHANNEL]]="AD-HOC",Won[[#This Row],[DEAL SIZE]]*Dashboard!$B$8,Won[[#This Row],[SALES CHANNEL]]="NEW BUSINESS",Won[[#This Row],[DEAL SIZE]]*Dashboard!$B$9)</f>
        <v>282</v>
      </c>
    </row>
    <row r="33" spans="1:11" x14ac:dyDescent="0.3">
      <c r="A33" t="str">
        <f>IF($C33="","",Dashboard!$B$3)</f>
        <v>Kelly</v>
      </c>
      <c r="B33" t="str">
        <f t="shared" si="0"/>
        <v>JANUARY</v>
      </c>
      <c r="C33" t="s">
        <v>53</v>
      </c>
      <c r="D33" s="6">
        <v>9100</v>
      </c>
      <c r="H33" t="s">
        <v>36</v>
      </c>
      <c r="I33" s="5">
        <v>44956</v>
      </c>
      <c r="K33" s="6" cm="1">
        <f t="array" ref="K33">_xlfn.IFS(Won[[#This Row],[SALES CHANNEL]]="RENEWAL",Won[[#This Row],[DEAL SIZE]]*Dashboard!$B$7,Won[[#This Row],[SALES CHANNEL]]="AD-HOC",Won[[#This Row],[DEAL SIZE]]*Dashboard!$B$8,Won[[#This Row],[SALES CHANNEL]]="NEW BUSINESS",Won[[#This Row],[DEAL SIZE]]*Dashboard!$B$9)</f>
        <v>1820</v>
      </c>
    </row>
    <row r="34" spans="1:11" x14ac:dyDescent="0.3">
      <c r="A34" t="str">
        <f>IF($C34="","",Dashboard!$B$3)</f>
        <v>Kelly</v>
      </c>
      <c r="B34" t="str">
        <f t="shared" si="0"/>
        <v>JANUARY</v>
      </c>
      <c r="C34" t="s">
        <v>54</v>
      </c>
      <c r="D34" s="6">
        <v>5726</v>
      </c>
      <c r="H34" t="s">
        <v>28</v>
      </c>
      <c r="I34" s="5">
        <v>44956</v>
      </c>
      <c r="K34" s="6" cm="1">
        <f t="array" ref="K34">_xlfn.IFS(Won[[#This Row],[SALES CHANNEL]]="RENEWAL",Won[[#This Row],[DEAL SIZE]]*Dashboard!$B$7,Won[[#This Row],[SALES CHANNEL]]="AD-HOC",Won[[#This Row],[DEAL SIZE]]*Dashboard!$B$8,Won[[#This Row],[SALES CHANNEL]]="NEW BUSINESS",Won[[#This Row],[DEAL SIZE]]*Dashboard!$B$9)</f>
        <v>286.3</v>
      </c>
    </row>
    <row r="35" spans="1:11" x14ac:dyDescent="0.3">
      <c r="A35" t="str">
        <f>IF($C35="","",Dashboard!$B$3)</f>
        <v>Kelly</v>
      </c>
      <c r="B35" t="str">
        <f t="shared" si="0"/>
        <v>FEBRUARY</v>
      </c>
      <c r="C35" t="s">
        <v>56</v>
      </c>
      <c r="D35" s="6">
        <v>9639</v>
      </c>
      <c r="H35" t="s">
        <v>14</v>
      </c>
      <c r="I35" s="5">
        <v>44958</v>
      </c>
      <c r="K35" s="6" cm="1">
        <f t="array" ref="K35">_xlfn.IFS(Won[[#This Row],[SALES CHANNEL]]="RENEWAL",Won[[#This Row],[DEAL SIZE]]*Dashboard!$B$7,Won[[#This Row],[SALES CHANNEL]]="AD-HOC",Won[[#This Row],[DEAL SIZE]]*Dashboard!$B$8,Won[[#This Row],[SALES CHANNEL]]="NEW BUSINESS",Won[[#This Row],[DEAL SIZE]]*Dashboard!$B$9)</f>
        <v>963.90000000000009</v>
      </c>
    </row>
    <row r="36" spans="1:11" x14ac:dyDescent="0.3">
      <c r="A36" t="str">
        <f>IF($C36="","",Dashboard!$B$3)</f>
        <v>Kelly</v>
      </c>
      <c r="B36" t="str">
        <f t="shared" si="0"/>
        <v>FEBRUARY</v>
      </c>
      <c r="C36" t="s">
        <v>57</v>
      </c>
      <c r="D36" s="6">
        <v>12669</v>
      </c>
      <c r="H36" t="s">
        <v>36</v>
      </c>
      <c r="I36" s="5">
        <v>44958</v>
      </c>
      <c r="K36" s="6" cm="1">
        <f t="array" ref="K36">_xlfn.IFS(Won[[#This Row],[SALES CHANNEL]]="RENEWAL",Won[[#This Row],[DEAL SIZE]]*Dashboard!$B$7,Won[[#This Row],[SALES CHANNEL]]="AD-HOC",Won[[#This Row],[DEAL SIZE]]*Dashboard!$B$8,Won[[#This Row],[SALES CHANNEL]]="NEW BUSINESS",Won[[#This Row],[DEAL SIZE]]*Dashboard!$B$9)</f>
        <v>2533.8000000000002</v>
      </c>
    </row>
    <row r="37" spans="1:11" x14ac:dyDescent="0.3">
      <c r="A37" t="str">
        <f>IF($C37="","",Dashboard!$B$3)</f>
        <v>Kelly</v>
      </c>
      <c r="B37" t="str">
        <f t="shared" si="0"/>
        <v>FEBRUARY</v>
      </c>
      <c r="C37" t="s">
        <v>58</v>
      </c>
      <c r="D37" s="6">
        <v>8252</v>
      </c>
      <c r="H37" t="s">
        <v>36</v>
      </c>
      <c r="I37" s="5">
        <v>44958</v>
      </c>
      <c r="K37" s="6" cm="1">
        <f t="array" ref="K37">_xlfn.IFS(Won[[#This Row],[SALES CHANNEL]]="RENEWAL",Won[[#This Row],[DEAL SIZE]]*Dashboard!$B$7,Won[[#This Row],[SALES CHANNEL]]="AD-HOC",Won[[#This Row],[DEAL SIZE]]*Dashboard!$B$8,Won[[#This Row],[SALES CHANNEL]]="NEW BUSINESS",Won[[#This Row],[DEAL SIZE]]*Dashboard!$B$9)</f>
        <v>1650.4</v>
      </c>
    </row>
    <row r="38" spans="1:11" x14ac:dyDescent="0.3">
      <c r="A38" t="str">
        <f>IF($C38="","",Dashboard!$B$3)</f>
        <v>Kelly</v>
      </c>
      <c r="B38" t="str">
        <f t="shared" si="0"/>
        <v>FEBRUARY</v>
      </c>
      <c r="C38" t="s">
        <v>60</v>
      </c>
      <c r="D38" s="6">
        <v>15854</v>
      </c>
      <c r="H38" t="s">
        <v>36</v>
      </c>
      <c r="I38" s="5">
        <v>44958</v>
      </c>
      <c r="K38" s="6" cm="1">
        <f t="array" ref="K38">_xlfn.IFS(Won[[#This Row],[SALES CHANNEL]]="RENEWAL",Won[[#This Row],[DEAL SIZE]]*Dashboard!$B$7,Won[[#This Row],[SALES CHANNEL]]="AD-HOC",Won[[#This Row],[DEAL SIZE]]*Dashboard!$B$8,Won[[#This Row],[SALES CHANNEL]]="NEW BUSINESS",Won[[#This Row],[DEAL SIZE]]*Dashboard!$B$9)</f>
        <v>3170.8</v>
      </c>
    </row>
    <row r="39" spans="1:11" x14ac:dyDescent="0.3">
      <c r="A39" t="str">
        <f>IF($C39="","",Dashboard!$B$3)</f>
        <v>Kelly</v>
      </c>
      <c r="B39" t="str">
        <f t="shared" si="0"/>
        <v>FEBRUARY</v>
      </c>
      <c r="C39" t="s">
        <v>61</v>
      </c>
      <c r="D39" s="6">
        <v>6079</v>
      </c>
      <c r="H39" t="s">
        <v>28</v>
      </c>
      <c r="I39" s="5">
        <v>44962</v>
      </c>
      <c r="K39" s="6" cm="1">
        <f t="array" ref="K39">_xlfn.IFS(Won[[#This Row],[SALES CHANNEL]]="RENEWAL",Won[[#This Row],[DEAL SIZE]]*Dashboard!$B$7,Won[[#This Row],[SALES CHANNEL]]="AD-HOC",Won[[#This Row],[DEAL SIZE]]*Dashboard!$B$8,Won[[#This Row],[SALES CHANNEL]]="NEW BUSINESS",Won[[#This Row],[DEAL SIZE]]*Dashboard!$B$9)</f>
        <v>303.95</v>
      </c>
    </row>
    <row r="40" spans="1:11" x14ac:dyDescent="0.3">
      <c r="A40" t="str">
        <f>IF($C40="","",Dashboard!$B$3)</f>
        <v>Kelly</v>
      </c>
      <c r="B40" t="str">
        <f t="shared" si="0"/>
        <v>FEBRUARY</v>
      </c>
      <c r="C40" t="s">
        <v>62</v>
      </c>
      <c r="D40" s="6">
        <v>14914</v>
      </c>
      <c r="H40" t="s">
        <v>28</v>
      </c>
      <c r="I40" s="5">
        <v>44962</v>
      </c>
      <c r="K40" s="6" cm="1">
        <f t="array" ref="K40">_xlfn.IFS(Won[[#This Row],[SALES CHANNEL]]="RENEWAL",Won[[#This Row],[DEAL SIZE]]*Dashboard!$B$7,Won[[#This Row],[SALES CHANNEL]]="AD-HOC",Won[[#This Row],[DEAL SIZE]]*Dashboard!$B$8,Won[[#This Row],[SALES CHANNEL]]="NEW BUSINESS",Won[[#This Row],[DEAL SIZE]]*Dashboard!$B$9)</f>
        <v>745.7</v>
      </c>
    </row>
    <row r="41" spans="1:11" x14ac:dyDescent="0.3">
      <c r="A41" t="str">
        <f>IF($C41="","",Dashboard!$B$3)</f>
        <v>Kelly</v>
      </c>
      <c r="B41" t="str">
        <f t="shared" si="0"/>
        <v>FEBRUARY</v>
      </c>
      <c r="C41" t="s">
        <v>64</v>
      </c>
      <c r="D41" s="6">
        <v>10124</v>
      </c>
      <c r="H41" t="s">
        <v>28</v>
      </c>
      <c r="I41" s="5">
        <v>44967</v>
      </c>
      <c r="K41" s="6" cm="1">
        <f t="array" ref="K41">_xlfn.IFS(Won[[#This Row],[SALES CHANNEL]]="RENEWAL",Won[[#This Row],[DEAL SIZE]]*Dashboard!$B$7,Won[[#This Row],[SALES CHANNEL]]="AD-HOC",Won[[#This Row],[DEAL SIZE]]*Dashboard!$B$8,Won[[#This Row],[SALES CHANNEL]]="NEW BUSINESS",Won[[#This Row],[DEAL SIZE]]*Dashboard!$B$9)</f>
        <v>506.20000000000005</v>
      </c>
    </row>
    <row r="42" spans="1:11" x14ac:dyDescent="0.3">
      <c r="A42" t="str">
        <f>IF($C42="","",Dashboard!$B$3)</f>
        <v>Kelly</v>
      </c>
      <c r="B42" t="str">
        <f t="shared" si="0"/>
        <v>FEBRUARY</v>
      </c>
      <c r="C42" t="s">
        <v>65</v>
      </c>
      <c r="D42" s="6">
        <v>9552</v>
      </c>
      <c r="H42" t="s">
        <v>36</v>
      </c>
      <c r="I42" s="5">
        <v>44969</v>
      </c>
      <c r="K42" s="6" cm="1">
        <f t="array" ref="K42">_xlfn.IFS(Won[[#This Row],[SALES CHANNEL]]="RENEWAL",Won[[#This Row],[DEAL SIZE]]*Dashboard!$B$7,Won[[#This Row],[SALES CHANNEL]]="AD-HOC",Won[[#This Row],[DEAL SIZE]]*Dashboard!$B$8,Won[[#This Row],[SALES CHANNEL]]="NEW BUSINESS",Won[[#This Row],[DEAL SIZE]]*Dashboard!$B$9)</f>
        <v>1910.4</v>
      </c>
    </row>
    <row r="43" spans="1:11" x14ac:dyDescent="0.3">
      <c r="A43" t="str">
        <f>IF($C43="","",Dashboard!$B$3)</f>
        <v>Kelly</v>
      </c>
      <c r="B43" t="str">
        <f t="shared" si="0"/>
        <v>FEBRUARY</v>
      </c>
      <c r="C43" t="s">
        <v>66</v>
      </c>
      <c r="D43" s="6">
        <v>16451</v>
      </c>
      <c r="H43" t="s">
        <v>28</v>
      </c>
      <c r="I43" s="5">
        <v>44969</v>
      </c>
      <c r="K43" s="6" cm="1">
        <f t="array" ref="K43">_xlfn.IFS(Won[[#This Row],[SALES CHANNEL]]="RENEWAL",Won[[#This Row],[DEAL SIZE]]*Dashboard!$B$7,Won[[#This Row],[SALES CHANNEL]]="AD-HOC",Won[[#This Row],[DEAL SIZE]]*Dashboard!$B$8,Won[[#This Row],[SALES CHANNEL]]="NEW BUSINESS",Won[[#This Row],[DEAL SIZE]]*Dashboard!$B$9)</f>
        <v>822.55000000000007</v>
      </c>
    </row>
    <row r="44" spans="1:11" x14ac:dyDescent="0.3">
      <c r="A44" t="str">
        <f>IF($C44="","",Dashboard!$B$3)</f>
        <v>Kelly</v>
      </c>
      <c r="B44" t="str">
        <f t="shared" si="0"/>
        <v>FEBRUARY</v>
      </c>
      <c r="C44" t="s">
        <v>67</v>
      </c>
      <c r="D44" s="6">
        <v>7813</v>
      </c>
      <c r="H44" t="s">
        <v>28</v>
      </c>
      <c r="I44" s="5">
        <v>44972</v>
      </c>
      <c r="K44" s="6" cm="1">
        <f t="array" ref="K44">_xlfn.IFS(Won[[#This Row],[SALES CHANNEL]]="RENEWAL",Won[[#This Row],[DEAL SIZE]]*Dashboard!$B$7,Won[[#This Row],[SALES CHANNEL]]="AD-HOC",Won[[#This Row],[DEAL SIZE]]*Dashboard!$B$8,Won[[#This Row],[SALES CHANNEL]]="NEW BUSINESS",Won[[#This Row],[DEAL SIZE]]*Dashboard!$B$9)</f>
        <v>390.65000000000003</v>
      </c>
    </row>
    <row r="45" spans="1:11" x14ac:dyDescent="0.3">
      <c r="A45" t="str">
        <f>IF($C45="","",Dashboard!$B$3)</f>
        <v>Kelly</v>
      </c>
      <c r="B45" t="str">
        <f t="shared" si="0"/>
        <v>FEBRUARY</v>
      </c>
      <c r="C45" t="s">
        <v>68</v>
      </c>
      <c r="D45" s="6">
        <v>11162</v>
      </c>
      <c r="H45" t="s">
        <v>28</v>
      </c>
      <c r="I45" s="5">
        <v>44972</v>
      </c>
      <c r="K45" s="6" cm="1">
        <f t="array" ref="K45">_xlfn.IFS(Won[[#This Row],[SALES CHANNEL]]="RENEWAL",Won[[#This Row],[DEAL SIZE]]*Dashboard!$B$7,Won[[#This Row],[SALES CHANNEL]]="AD-HOC",Won[[#This Row],[DEAL SIZE]]*Dashboard!$B$8,Won[[#This Row],[SALES CHANNEL]]="NEW BUSINESS",Won[[#This Row],[DEAL SIZE]]*Dashboard!$B$9)</f>
        <v>558.1</v>
      </c>
    </row>
    <row r="46" spans="1:11" x14ac:dyDescent="0.3">
      <c r="A46" t="str">
        <f>IF($C46="","",Dashboard!$B$3)</f>
        <v>Kelly</v>
      </c>
      <c r="B46" t="str">
        <f t="shared" si="0"/>
        <v>FEBRUARY</v>
      </c>
      <c r="C46" t="s">
        <v>69</v>
      </c>
      <c r="D46" s="6">
        <v>10232</v>
      </c>
      <c r="H46" t="s">
        <v>36</v>
      </c>
      <c r="I46" s="5">
        <v>44972</v>
      </c>
      <c r="K46" s="6" cm="1">
        <f t="array" ref="K46">_xlfn.IFS(Won[[#This Row],[SALES CHANNEL]]="RENEWAL",Won[[#This Row],[DEAL SIZE]]*Dashboard!$B$7,Won[[#This Row],[SALES CHANNEL]]="AD-HOC",Won[[#This Row],[DEAL SIZE]]*Dashboard!$B$8,Won[[#This Row],[SALES CHANNEL]]="NEW BUSINESS",Won[[#This Row],[DEAL SIZE]]*Dashboard!$B$9)</f>
        <v>2046.4</v>
      </c>
    </row>
    <row r="47" spans="1:11" x14ac:dyDescent="0.3">
      <c r="A47" t="str">
        <f>IF($C47="","",Dashboard!$B$3)</f>
        <v>Kelly</v>
      </c>
      <c r="B47" t="str">
        <f t="shared" si="0"/>
        <v>FEBRUARY</v>
      </c>
      <c r="C47" t="s">
        <v>70</v>
      </c>
      <c r="D47" s="6">
        <v>10144</v>
      </c>
      <c r="H47" t="s">
        <v>36</v>
      </c>
      <c r="I47" s="5">
        <v>44972</v>
      </c>
      <c r="K47" s="6" cm="1">
        <f t="array" ref="K47">_xlfn.IFS(Won[[#This Row],[SALES CHANNEL]]="RENEWAL",Won[[#This Row],[DEAL SIZE]]*Dashboard!$B$7,Won[[#This Row],[SALES CHANNEL]]="AD-HOC",Won[[#This Row],[DEAL SIZE]]*Dashboard!$B$8,Won[[#This Row],[SALES CHANNEL]]="NEW BUSINESS",Won[[#This Row],[DEAL SIZE]]*Dashboard!$B$9)</f>
        <v>2028.8000000000002</v>
      </c>
    </row>
    <row r="48" spans="1:11" x14ac:dyDescent="0.3">
      <c r="A48" t="str">
        <f>IF($C48="","",Dashboard!$B$3)</f>
        <v>Kelly</v>
      </c>
      <c r="B48" t="str">
        <f t="shared" si="0"/>
        <v>FEBRUARY</v>
      </c>
      <c r="C48" t="s">
        <v>71</v>
      </c>
      <c r="D48" s="6">
        <v>12920</v>
      </c>
      <c r="H48" t="s">
        <v>28</v>
      </c>
      <c r="I48" s="5">
        <v>44975</v>
      </c>
      <c r="K48" s="6" cm="1">
        <f t="array" ref="K48">_xlfn.IFS(Won[[#This Row],[SALES CHANNEL]]="RENEWAL",Won[[#This Row],[DEAL SIZE]]*Dashboard!$B$7,Won[[#This Row],[SALES CHANNEL]]="AD-HOC",Won[[#This Row],[DEAL SIZE]]*Dashboard!$B$8,Won[[#This Row],[SALES CHANNEL]]="NEW BUSINESS",Won[[#This Row],[DEAL SIZE]]*Dashboard!$B$9)</f>
        <v>646</v>
      </c>
    </row>
    <row r="49" spans="1:11" x14ac:dyDescent="0.3">
      <c r="A49" t="str">
        <f>IF($C49="","",Dashboard!$B$3)</f>
        <v>Kelly</v>
      </c>
      <c r="B49" t="str">
        <f t="shared" si="0"/>
        <v>FEBRUARY</v>
      </c>
      <c r="C49" t="s">
        <v>72</v>
      </c>
      <c r="D49" s="6">
        <v>11319</v>
      </c>
      <c r="H49" t="s">
        <v>28</v>
      </c>
      <c r="I49" s="5">
        <v>44975</v>
      </c>
      <c r="K49" s="6" cm="1">
        <f t="array" ref="K49">_xlfn.IFS(Won[[#This Row],[SALES CHANNEL]]="RENEWAL",Won[[#This Row],[DEAL SIZE]]*Dashboard!$B$7,Won[[#This Row],[SALES CHANNEL]]="AD-HOC",Won[[#This Row],[DEAL SIZE]]*Dashboard!$B$8,Won[[#This Row],[SALES CHANNEL]]="NEW BUSINESS",Won[[#This Row],[DEAL SIZE]]*Dashboard!$B$9)</f>
        <v>565.95000000000005</v>
      </c>
    </row>
    <row r="50" spans="1:11" x14ac:dyDescent="0.3">
      <c r="A50" t="str">
        <f>IF($C50="","",Dashboard!$B$3)</f>
        <v>Kelly</v>
      </c>
      <c r="B50" t="str">
        <f t="shared" si="0"/>
        <v>FEBRUARY</v>
      </c>
      <c r="C50" t="s">
        <v>57</v>
      </c>
      <c r="D50" s="6">
        <v>17445</v>
      </c>
      <c r="H50" t="s">
        <v>36</v>
      </c>
      <c r="I50" s="5">
        <v>44975</v>
      </c>
      <c r="K50" s="6" cm="1">
        <f t="array" ref="K50">_xlfn.IFS(Won[[#This Row],[SALES CHANNEL]]="RENEWAL",Won[[#This Row],[DEAL SIZE]]*Dashboard!$B$7,Won[[#This Row],[SALES CHANNEL]]="AD-HOC",Won[[#This Row],[DEAL SIZE]]*Dashboard!$B$8,Won[[#This Row],[SALES CHANNEL]]="NEW BUSINESS",Won[[#This Row],[DEAL SIZE]]*Dashboard!$B$9)</f>
        <v>3489</v>
      </c>
    </row>
    <row r="51" spans="1:11" x14ac:dyDescent="0.3">
      <c r="A51" t="str">
        <f>IF($C51="","",Dashboard!$B$3)</f>
        <v>Kelly</v>
      </c>
      <c r="B51" t="str">
        <f t="shared" si="0"/>
        <v>FEBRUARY</v>
      </c>
      <c r="C51" t="s">
        <v>73</v>
      </c>
      <c r="D51" s="6">
        <v>5244</v>
      </c>
      <c r="H51" t="s">
        <v>36</v>
      </c>
      <c r="I51" s="5">
        <v>44975</v>
      </c>
      <c r="K51" s="6" cm="1">
        <f t="array" ref="K51">_xlfn.IFS(Won[[#This Row],[SALES CHANNEL]]="RENEWAL",Won[[#This Row],[DEAL SIZE]]*Dashboard!$B$7,Won[[#This Row],[SALES CHANNEL]]="AD-HOC",Won[[#This Row],[DEAL SIZE]]*Dashboard!$B$8,Won[[#This Row],[SALES CHANNEL]]="NEW BUSINESS",Won[[#This Row],[DEAL SIZE]]*Dashboard!$B$9)</f>
        <v>1048.8</v>
      </c>
    </row>
    <row r="52" spans="1:11" x14ac:dyDescent="0.3">
      <c r="A52" t="str">
        <f>IF($C52="","",Dashboard!$B$3)</f>
        <v>Kelly</v>
      </c>
      <c r="B52" t="str">
        <f t="shared" si="0"/>
        <v>FEBRUARY</v>
      </c>
      <c r="C52" t="s">
        <v>74</v>
      </c>
      <c r="D52" s="6">
        <v>9648</v>
      </c>
      <c r="H52" t="s">
        <v>14</v>
      </c>
      <c r="I52" s="5">
        <v>44975</v>
      </c>
      <c r="K52" s="6" cm="1">
        <f t="array" ref="K52">_xlfn.IFS(Won[[#This Row],[SALES CHANNEL]]="RENEWAL",Won[[#This Row],[DEAL SIZE]]*Dashboard!$B$7,Won[[#This Row],[SALES CHANNEL]]="AD-HOC",Won[[#This Row],[DEAL SIZE]]*Dashboard!$B$8,Won[[#This Row],[SALES CHANNEL]]="NEW BUSINESS",Won[[#This Row],[DEAL SIZE]]*Dashboard!$B$9)</f>
        <v>964.80000000000007</v>
      </c>
    </row>
    <row r="53" spans="1:11" x14ac:dyDescent="0.3">
      <c r="A53" t="str">
        <f>IF($C53="","",Dashboard!$B$3)</f>
        <v>Kelly</v>
      </c>
      <c r="B53" t="str">
        <f t="shared" si="0"/>
        <v>FEBRUARY</v>
      </c>
      <c r="C53" t="s">
        <v>75</v>
      </c>
      <c r="D53" s="6">
        <v>11189</v>
      </c>
      <c r="H53" t="s">
        <v>14</v>
      </c>
      <c r="I53" s="5">
        <v>44976</v>
      </c>
      <c r="K53" s="6" cm="1">
        <f t="array" ref="K53">_xlfn.IFS(Won[[#This Row],[SALES CHANNEL]]="RENEWAL",Won[[#This Row],[DEAL SIZE]]*Dashboard!$B$7,Won[[#This Row],[SALES CHANNEL]]="AD-HOC",Won[[#This Row],[DEAL SIZE]]*Dashboard!$B$8,Won[[#This Row],[SALES CHANNEL]]="NEW BUSINESS",Won[[#This Row],[DEAL SIZE]]*Dashboard!$B$9)</f>
        <v>1118.9000000000001</v>
      </c>
    </row>
    <row r="54" spans="1:11" x14ac:dyDescent="0.3">
      <c r="A54" t="str">
        <f>IF($C54="","",Dashboard!$B$3)</f>
        <v>Kelly</v>
      </c>
      <c r="B54" t="str">
        <f t="shared" si="0"/>
        <v>FEBRUARY</v>
      </c>
      <c r="C54" t="s">
        <v>76</v>
      </c>
      <c r="D54" s="6">
        <v>14746</v>
      </c>
      <c r="H54" t="s">
        <v>14</v>
      </c>
      <c r="I54" s="5">
        <v>44977</v>
      </c>
      <c r="K54" s="6" cm="1">
        <f t="array" ref="K54">_xlfn.IFS(Won[[#This Row],[SALES CHANNEL]]="RENEWAL",Won[[#This Row],[DEAL SIZE]]*Dashboard!$B$7,Won[[#This Row],[SALES CHANNEL]]="AD-HOC",Won[[#This Row],[DEAL SIZE]]*Dashboard!$B$8,Won[[#This Row],[SALES CHANNEL]]="NEW BUSINESS",Won[[#This Row],[DEAL SIZE]]*Dashboard!$B$9)</f>
        <v>1474.6000000000001</v>
      </c>
    </row>
    <row r="55" spans="1:11" x14ac:dyDescent="0.3">
      <c r="A55" t="str">
        <f>IF($C55="","",Dashboard!$B$3)</f>
        <v>Kelly</v>
      </c>
      <c r="B55" t="str">
        <f t="shared" si="0"/>
        <v>FEBRUARY</v>
      </c>
      <c r="C55" t="s">
        <v>77</v>
      </c>
      <c r="D55" s="6">
        <v>16549</v>
      </c>
      <c r="H55" t="s">
        <v>28</v>
      </c>
      <c r="I55" s="5">
        <v>44982</v>
      </c>
      <c r="K55" s="6" cm="1">
        <f t="array" ref="K55">_xlfn.IFS(Won[[#This Row],[SALES CHANNEL]]="RENEWAL",Won[[#This Row],[DEAL SIZE]]*Dashboard!$B$7,Won[[#This Row],[SALES CHANNEL]]="AD-HOC",Won[[#This Row],[DEAL SIZE]]*Dashboard!$B$8,Won[[#This Row],[SALES CHANNEL]]="NEW BUSINESS",Won[[#This Row],[DEAL SIZE]]*Dashboard!$B$9)</f>
        <v>827.45</v>
      </c>
    </row>
    <row r="56" spans="1:11" x14ac:dyDescent="0.3">
      <c r="A56" t="str">
        <f>IF($C56="","",Dashboard!$B$3)</f>
        <v>Kelly</v>
      </c>
      <c r="B56" t="str">
        <f t="shared" si="0"/>
        <v>FEBRUARY</v>
      </c>
      <c r="C56" t="s">
        <v>78</v>
      </c>
      <c r="D56" s="6">
        <v>12285</v>
      </c>
      <c r="H56" t="s">
        <v>28</v>
      </c>
      <c r="I56" s="5">
        <v>44982</v>
      </c>
      <c r="K56" s="6" cm="1">
        <f t="array" ref="K56">_xlfn.IFS(Won[[#This Row],[SALES CHANNEL]]="RENEWAL",Won[[#This Row],[DEAL SIZE]]*Dashboard!$B$7,Won[[#This Row],[SALES CHANNEL]]="AD-HOC",Won[[#This Row],[DEAL SIZE]]*Dashboard!$B$8,Won[[#This Row],[SALES CHANNEL]]="NEW BUSINESS",Won[[#This Row],[DEAL SIZE]]*Dashboard!$B$9)</f>
        <v>614.25</v>
      </c>
    </row>
    <row r="57" spans="1:11" x14ac:dyDescent="0.3">
      <c r="A57" t="str">
        <f>IF($C57="","",Dashboard!$B$3)</f>
        <v>Kelly</v>
      </c>
      <c r="B57" t="str">
        <f t="shared" si="0"/>
        <v>FEBRUARY</v>
      </c>
      <c r="C57" t="s">
        <v>79</v>
      </c>
      <c r="D57" s="6">
        <v>10768</v>
      </c>
      <c r="H57" t="s">
        <v>28</v>
      </c>
      <c r="I57" s="5">
        <v>44985</v>
      </c>
      <c r="K57" s="6" cm="1">
        <f t="array" ref="K57">_xlfn.IFS(Won[[#This Row],[SALES CHANNEL]]="RENEWAL",Won[[#This Row],[DEAL SIZE]]*Dashboard!$B$7,Won[[#This Row],[SALES CHANNEL]]="AD-HOC",Won[[#This Row],[DEAL SIZE]]*Dashboard!$B$8,Won[[#This Row],[SALES CHANNEL]]="NEW BUSINESS",Won[[#This Row],[DEAL SIZE]]*Dashboard!$B$9)</f>
        <v>538.4</v>
      </c>
    </row>
    <row r="58" spans="1:11" x14ac:dyDescent="0.3">
      <c r="A58" t="str">
        <f>IF($C58="","",Dashboard!$B$3)</f>
        <v>Kelly</v>
      </c>
      <c r="B58" t="str">
        <f t="shared" si="0"/>
        <v>MARCH</v>
      </c>
      <c r="C58" t="s">
        <v>81</v>
      </c>
      <c r="D58" s="6">
        <v>15822</v>
      </c>
      <c r="H58" t="s">
        <v>28</v>
      </c>
      <c r="I58" s="5">
        <v>44986</v>
      </c>
      <c r="K58" s="6" cm="1">
        <f t="array" ref="K58">_xlfn.IFS(Won[[#This Row],[SALES CHANNEL]]="RENEWAL",Won[[#This Row],[DEAL SIZE]]*Dashboard!$B$7,Won[[#This Row],[SALES CHANNEL]]="AD-HOC",Won[[#This Row],[DEAL SIZE]]*Dashboard!$B$8,Won[[#This Row],[SALES CHANNEL]]="NEW BUSINESS",Won[[#This Row],[DEAL SIZE]]*Dashboard!$B$9)</f>
        <v>791.1</v>
      </c>
    </row>
    <row r="59" spans="1:11" x14ac:dyDescent="0.3">
      <c r="A59" t="str">
        <f>IF($C59="","",Dashboard!$B$3)</f>
        <v>Kelly</v>
      </c>
      <c r="B59" t="str">
        <f t="shared" si="0"/>
        <v>MARCH</v>
      </c>
      <c r="C59" t="s">
        <v>82</v>
      </c>
      <c r="D59" s="6">
        <v>16723</v>
      </c>
      <c r="H59" t="s">
        <v>28</v>
      </c>
      <c r="I59" s="5">
        <v>44990</v>
      </c>
      <c r="K59" s="6" cm="1">
        <f t="array" ref="K59">_xlfn.IFS(Won[[#This Row],[SALES CHANNEL]]="RENEWAL",Won[[#This Row],[DEAL SIZE]]*Dashboard!$B$7,Won[[#This Row],[SALES CHANNEL]]="AD-HOC",Won[[#This Row],[DEAL SIZE]]*Dashboard!$B$8,Won[[#This Row],[SALES CHANNEL]]="NEW BUSINESS",Won[[#This Row],[DEAL SIZE]]*Dashboard!$B$9)</f>
        <v>836.15000000000009</v>
      </c>
    </row>
    <row r="60" spans="1:11" x14ac:dyDescent="0.3">
      <c r="A60" t="str">
        <f>IF($C60="","",Dashboard!$B$3)</f>
        <v>Kelly</v>
      </c>
      <c r="B60" t="str">
        <f t="shared" si="0"/>
        <v>MARCH</v>
      </c>
      <c r="C60" t="s">
        <v>83</v>
      </c>
      <c r="D60" s="6">
        <v>19323</v>
      </c>
      <c r="H60" t="s">
        <v>28</v>
      </c>
      <c r="I60" s="5">
        <v>44990</v>
      </c>
      <c r="K60" s="6" cm="1">
        <f t="array" ref="K60">_xlfn.IFS(Won[[#This Row],[SALES CHANNEL]]="RENEWAL",Won[[#This Row],[DEAL SIZE]]*Dashboard!$B$7,Won[[#This Row],[SALES CHANNEL]]="AD-HOC",Won[[#This Row],[DEAL SIZE]]*Dashboard!$B$8,Won[[#This Row],[SALES CHANNEL]]="NEW BUSINESS",Won[[#This Row],[DEAL SIZE]]*Dashboard!$B$9)</f>
        <v>966.15000000000009</v>
      </c>
    </row>
    <row r="61" spans="1:11" x14ac:dyDescent="0.3">
      <c r="A61" t="str">
        <f>IF($C61="","",Dashboard!$B$3)</f>
        <v>Kelly</v>
      </c>
      <c r="B61" t="str">
        <f t="shared" si="0"/>
        <v>MARCH</v>
      </c>
      <c r="C61" t="s">
        <v>84</v>
      </c>
      <c r="D61" s="6">
        <v>15344</v>
      </c>
      <c r="H61" t="s">
        <v>36</v>
      </c>
      <c r="I61" s="5">
        <v>44990</v>
      </c>
      <c r="K61" s="6" cm="1">
        <f t="array" ref="K61">_xlfn.IFS(Won[[#This Row],[SALES CHANNEL]]="RENEWAL",Won[[#This Row],[DEAL SIZE]]*Dashboard!$B$7,Won[[#This Row],[SALES CHANNEL]]="AD-HOC",Won[[#This Row],[DEAL SIZE]]*Dashboard!$B$8,Won[[#This Row],[SALES CHANNEL]]="NEW BUSINESS",Won[[#This Row],[DEAL SIZE]]*Dashboard!$B$9)</f>
        <v>3068.8</v>
      </c>
    </row>
    <row r="62" spans="1:11" x14ac:dyDescent="0.3">
      <c r="A62" t="str">
        <f>IF($C62="","",Dashboard!$B$3)</f>
        <v>Kelly</v>
      </c>
      <c r="B62" t="str">
        <f t="shared" si="0"/>
        <v>MARCH</v>
      </c>
      <c r="C62" t="s">
        <v>85</v>
      </c>
      <c r="D62" s="6">
        <v>19134</v>
      </c>
      <c r="H62" t="s">
        <v>14</v>
      </c>
      <c r="I62" s="5">
        <v>44990</v>
      </c>
      <c r="K62" s="6" cm="1">
        <f t="array" ref="K62">_xlfn.IFS(Won[[#This Row],[SALES CHANNEL]]="RENEWAL",Won[[#This Row],[DEAL SIZE]]*Dashboard!$B$7,Won[[#This Row],[SALES CHANNEL]]="AD-HOC",Won[[#This Row],[DEAL SIZE]]*Dashboard!$B$8,Won[[#This Row],[SALES CHANNEL]]="NEW BUSINESS",Won[[#This Row],[DEAL SIZE]]*Dashboard!$B$9)</f>
        <v>1913.4</v>
      </c>
    </row>
    <row r="63" spans="1:11" x14ac:dyDescent="0.3">
      <c r="A63" t="str">
        <f>IF($C63="","",Dashboard!$B$3)</f>
        <v>Kelly</v>
      </c>
      <c r="B63" t="str">
        <f t="shared" si="0"/>
        <v>MARCH</v>
      </c>
      <c r="C63" t="s">
        <v>86</v>
      </c>
      <c r="D63" s="6">
        <v>18910</v>
      </c>
      <c r="H63" t="s">
        <v>28</v>
      </c>
      <c r="I63" s="5">
        <v>44995</v>
      </c>
      <c r="K63" s="6" cm="1">
        <f t="array" ref="K63">_xlfn.IFS(Won[[#This Row],[SALES CHANNEL]]="RENEWAL",Won[[#This Row],[DEAL SIZE]]*Dashboard!$B$7,Won[[#This Row],[SALES CHANNEL]]="AD-HOC",Won[[#This Row],[DEAL SIZE]]*Dashboard!$B$8,Won[[#This Row],[SALES CHANNEL]]="NEW BUSINESS",Won[[#This Row],[DEAL SIZE]]*Dashboard!$B$9)</f>
        <v>945.5</v>
      </c>
    </row>
    <row r="64" spans="1:11" x14ac:dyDescent="0.3">
      <c r="A64" t="str">
        <f>IF($C64="","",Dashboard!$B$3)</f>
        <v>Kelly</v>
      </c>
      <c r="B64" t="str">
        <f t="shared" si="0"/>
        <v>MARCH</v>
      </c>
      <c r="C64" t="s">
        <v>87</v>
      </c>
      <c r="D64" s="6">
        <v>18892</v>
      </c>
      <c r="H64" t="s">
        <v>28</v>
      </c>
      <c r="I64" s="5">
        <v>44996</v>
      </c>
      <c r="K64" s="6" cm="1">
        <f t="array" ref="K64">_xlfn.IFS(Won[[#This Row],[SALES CHANNEL]]="RENEWAL",Won[[#This Row],[DEAL SIZE]]*Dashboard!$B$7,Won[[#This Row],[SALES CHANNEL]]="AD-HOC",Won[[#This Row],[DEAL SIZE]]*Dashboard!$B$8,Won[[#This Row],[SALES CHANNEL]]="NEW BUSINESS",Won[[#This Row],[DEAL SIZE]]*Dashboard!$B$9)</f>
        <v>944.6</v>
      </c>
    </row>
    <row r="65" spans="1:11" x14ac:dyDescent="0.3">
      <c r="A65" t="str">
        <f>IF($C65="","",Dashboard!$B$3)</f>
        <v>Kelly</v>
      </c>
      <c r="B65" t="str">
        <f t="shared" si="0"/>
        <v>MARCH</v>
      </c>
      <c r="C65" t="s">
        <v>88</v>
      </c>
      <c r="D65" s="6">
        <v>16198</v>
      </c>
      <c r="H65" t="s">
        <v>36</v>
      </c>
      <c r="I65" s="5">
        <v>45000</v>
      </c>
      <c r="K65" s="6" cm="1">
        <f t="array" ref="K65">_xlfn.IFS(Won[[#This Row],[SALES CHANNEL]]="RENEWAL",Won[[#This Row],[DEAL SIZE]]*Dashboard!$B$7,Won[[#This Row],[SALES CHANNEL]]="AD-HOC",Won[[#This Row],[DEAL SIZE]]*Dashboard!$B$8,Won[[#This Row],[SALES CHANNEL]]="NEW BUSINESS",Won[[#This Row],[DEAL SIZE]]*Dashboard!$B$9)</f>
        <v>3239.6000000000004</v>
      </c>
    </row>
    <row r="66" spans="1:11" x14ac:dyDescent="0.3">
      <c r="A66" t="str">
        <f>IF($C66="","",Dashboard!$B$3)</f>
        <v>Kelly</v>
      </c>
      <c r="B66" t="str">
        <f t="shared" si="0"/>
        <v>MARCH</v>
      </c>
      <c r="C66" t="s">
        <v>89</v>
      </c>
      <c r="D66" s="6">
        <v>9556</v>
      </c>
      <c r="H66" t="s">
        <v>28</v>
      </c>
      <c r="I66" s="5">
        <v>45000</v>
      </c>
      <c r="K66" s="6" cm="1">
        <f t="array" ref="K66">_xlfn.IFS(Won[[#This Row],[SALES CHANNEL]]="RENEWAL",Won[[#This Row],[DEAL SIZE]]*Dashboard!$B$7,Won[[#This Row],[SALES CHANNEL]]="AD-HOC",Won[[#This Row],[DEAL SIZE]]*Dashboard!$B$8,Won[[#This Row],[SALES CHANNEL]]="NEW BUSINESS",Won[[#This Row],[DEAL SIZE]]*Dashboard!$B$9)</f>
        <v>477.8</v>
      </c>
    </row>
    <row r="67" spans="1:11" x14ac:dyDescent="0.3">
      <c r="A67" t="str">
        <f>IF($C67="","",Dashboard!$B$3)</f>
        <v>Kelly</v>
      </c>
      <c r="B67" t="str">
        <f t="shared" si="0"/>
        <v>MARCH</v>
      </c>
      <c r="C67" t="s">
        <v>90</v>
      </c>
      <c r="D67" s="6">
        <v>14746</v>
      </c>
      <c r="H67" t="s">
        <v>36</v>
      </c>
      <c r="I67" s="5">
        <v>45000</v>
      </c>
      <c r="K67" s="6" cm="1">
        <f t="array" ref="K67">_xlfn.IFS(Won[[#This Row],[SALES CHANNEL]]="RENEWAL",Won[[#This Row],[DEAL SIZE]]*Dashboard!$B$7,Won[[#This Row],[SALES CHANNEL]]="AD-HOC",Won[[#This Row],[DEAL SIZE]]*Dashboard!$B$8,Won[[#This Row],[SALES CHANNEL]]="NEW BUSINESS",Won[[#This Row],[DEAL SIZE]]*Dashboard!$B$9)</f>
        <v>2949.2000000000003</v>
      </c>
    </row>
    <row r="68" spans="1:11" x14ac:dyDescent="0.3">
      <c r="A68" t="str">
        <f>IF($C68="","",Dashboard!$B$3)</f>
        <v>Kelly</v>
      </c>
      <c r="B68" t="str">
        <f t="shared" si="0"/>
        <v>MARCH</v>
      </c>
      <c r="C68" t="s">
        <v>91</v>
      </c>
      <c r="D68" s="6">
        <v>16549</v>
      </c>
      <c r="H68" t="s">
        <v>14</v>
      </c>
      <c r="I68" s="5">
        <v>45000</v>
      </c>
      <c r="K68" s="6" cm="1">
        <f t="array" ref="K68">_xlfn.IFS(Won[[#This Row],[SALES CHANNEL]]="RENEWAL",Won[[#This Row],[DEAL SIZE]]*Dashboard!$B$7,Won[[#This Row],[SALES CHANNEL]]="AD-HOC",Won[[#This Row],[DEAL SIZE]]*Dashboard!$B$8,Won[[#This Row],[SALES CHANNEL]]="NEW BUSINESS",Won[[#This Row],[DEAL SIZE]]*Dashboard!$B$9)</f>
        <v>1654.9</v>
      </c>
    </row>
    <row r="69" spans="1:11" x14ac:dyDescent="0.3">
      <c r="A69" t="str">
        <f>IF($C69="","",Dashboard!$B$3)</f>
        <v>Kelly</v>
      </c>
      <c r="B69" t="str">
        <f t="shared" ref="B69:B132" si="1">IF($I69="","",UPPER(TEXT($I69,"mmmm")))</f>
        <v>MARCH</v>
      </c>
      <c r="C69" t="s">
        <v>49</v>
      </c>
      <c r="D69" s="6">
        <v>12285</v>
      </c>
      <c r="H69" t="s">
        <v>14</v>
      </c>
      <c r="I69" s="5">
        <v>45003</v>
      </c>
      <c r="K69" s="6" cm="1">
        <f t="array" ref="K69">_xlfn.IFS(Won[[#This Row],[SALES CHANNEL]]="RENEWAL",Won[[#This Row],[DEAL SIZE]]*Dashboard!$B$7,Won[[#This Row],[SALES CHANNEL]]="AD-HOC",Won[[#This Row],[DEAL SIZE]]*Dashboard!$B$8,Won[[#This Row],[SALES CHANNEL]]="NEW BUSINESS",Won[[#This Row],[DEAL SIZE]]*Dashboard!$B$9)</f>
        <v>1228.5</v>
      </c>
    </row>
    <row r="70" spans="1:11" x14ac:dyDescent="0.3">
      <c r="A70" t="str">
        <f>IF($C70="","",Dashboard!$B$3)</f>
        <v>Kelly</v>
      </c>
      <c r="B70" t="str">
        <f t="shared" si="1"/>
        <v>MARCH</v>
      </c>
      <c r="C70" t="s">
        <v>92</v>
      </c>
      <c r="D70" s="6">
        <v>10768</v>
      </c>
      <c r="H70" t="s">
        <v>28</v>
      </c>
      <c r="I70" s="5">
        <v>45003</v>
      </c>
      <c r="K70" s="6" cm="1">
        <f t="array" ref="K70">_xlfn.IFS(Won[[#This Row],[SALES CHANNEL]]="RENEWAL",Won[[#This Row],[DEAL SIZE]]*Dashboard!$B$7,Won[[#This Row],[SALES CHANNEL]]="AD-HOC",Won[[#This Row],[DEAL SIZE]]*Dashboard!$B$8,Won[[#This Row],[SALES CHANNEL]]="NEW BUSINESS",Won[[#This Row],[DEAL SIZE]]*Dashboard!$B$9)</f>
        <v>538.4</v>
      </c>
    </row>
    <row r="71" spans="1:11" x14ac:dyDescent="0.3">
      <c r="A71" t="str">
        <f>IF($C71="","",Dashboard!$B$3)</f>
        <v>Kelly</v>
      </c>
      <c r="B71" t="str">
        <f t="shared" si="1"/>
        <v>MARCH</v>
      </c>
      <c r="C71" t="s">
        <v>93</v>
      </c>
      <c r="D71" s="6">
        <v>15822</v>
      </c>
      <c r="H71" t="s">
        <v>36</v>
      </c>
      <c r="I71" s="5">
        <v>45003</v>
      </c>
      <c r="K71" s="6" cm="1">
        <f t="array" ref="K71">_xlfn.IFS(Won[[#This Row],[SALES CHANNEL]]="RENEWAL",Won[[#This Row],[DEAL SIZE]]*Dashboard!$B$7,Won[[#This Row],[SALES CHANNEL]]="AD-HOC",Won[[#This Row],[DEAL SIZE]]*Dashboard!$B$8,Won[[#This Row],[SALES CHANNEL]]="NEW BUSINESS",Won[[#This Row],[DEAL SIZE]]*Dashboard!$B$9)</f>
        <v>3164.4</v>
      </c>
    </row>
    <row r="72" spans="1:11" x14ac:dyDescent="0.3">
      <c r="A72" t="str">
        <f>IF($C72="","",Dashboard!$B$3)</f>
        <v>Kelly</v>
      </c>
      <c r="B72" t="str">
        <f t="shared" si="1"/>
        <v>MARCH</v>
      </c>
      <c r="C72" t="s">
        <v>94</v>
      </c>
      <c r="D72" s="6">
        <v>16723</v>
      </c>
      <c r="H72" t="s">
        <v>14</v>
      </c>
      <c r="I72" s="5">
        <v>45004</v>
      </c>
      <c r="K72" s="6" cm="1">
        <f t="array" ref="K72">_xlfn.IFS(Won[[#This Row],[SALES CHANNEL]]="RENEWAL",Won[[#This Row],[DEAL SIZE]]*Dashboard!$B$7,Won[[#This Row],[SALES CHANNEL]]="AD-HOC",Won[[#This Row],[DEAL SIZE]]*Dashboard!$B$8,Won[[#This Row],[SALES CHANNEL]]="NEW BUSINESS",Won[[#This Row],[DEAL SIZE]]*Dashboard!$B$9)</f>
        <v>1672.3000000000002</v>
      </c>
    </row>
    <row r="73" spans="1:11" x14ac:dyDescent="0.3">
      <c r="A73" t="str">
        <f>IF($C73="","",Dashboard!$B$3)</f>
        <v>Kelly</v>
      </c>
      <c r="B73" t="str">
        <f t="shared" si="1"/>
        <v>MARCH</v>
      </c>
      <c r="C73" t="s">
        <v>95</v>
      </c>
      <c r="D73" s="6">
        <v>19323</v>
      </c>
      <c r="H73" t="s">
        <v>28</v>
      </c>
      <c r="I73" s="5">
        <v>45006</v>
      </c>
      <c r="K73" s="6" cm="1">
        <f t="array" ref="K73">_xlfn.IFS(Won[[#This Row],[SALES CHANNEL]]="RENEWAL",Won[[#This Row],[DEAL SIZE]]*Dashboard!$B$7,Won[[#This Row],[SALES CHANNEL]]="AD-HOC",Won[[#This Row],[DEAL SIZE]]*Dashboard!$B$8,Won[[#This Row],[SALES CHANNEL]]="NEW BUSINESS",Won[[#This Row],[DEAL SIZE]]*Dashboard!$B$9)</f>
        <v>966.15000000000009</v>
      </c>
    </row>
    <row r="74" spans="1:11" x14ac:dyDescent="0.3">
      <c r="A74" t="str">
        <f>IF($C74="","",Dashboard!$B$3)</f>
        <v>Kelly</v>
      </c>
      <c r="B74" t="str">
        <f t="shared" si="1"/>
        <v>MARCH</v>
      </c>
      <c r="C74" t="s">
        <v>96</v>
      </c>
      <c r="D74" s="6">
        <v>15344</v>
      </c>
      <c r="H74" t="s">
        <v>28</v>
      </c>
      <c r="I74" s="5">
        <v>45007</v>
      </c>
      <c r="K74" s="6" cm="1">
        <f t="array" ref="K74">_xlfn.IFS(Won[[#This Row],[SALES CHANNEL]]="RENEWAL",Won[[#This Row],[DEAL SIZE]]*Dashboard!$B$7,Won[[#This Row],[SALES CHANNEL]]="AD-HOC",Won[[#This Row],[DEAL SIZE]]*Dashboard!$B$8,Won[[#This Row],[SALES CHANNEL]]="NEW BUSINESS",Won[[#This Row],[DEAL SIZE]]*Dashboard!$B$9)</f>
        <v>767.2</v>
      </c>
    </row>
    <row r="75" spans="1:11" x14ac:dyDescent="0.3">
      <c r="A75" t="str">
        <f>IF($C75="","",Dashboard!$B$3)</f>
        <v>Kelly</v>
      </c>
      <c r="B75" t="str">
        <f t="shared" si="1"/>
        <v>MARCH</v>
      </c>
      <c r="C75" t="s">
        <v>97</v>
      </c>
      <c r="D75" s="6">
        <v>19134</v>
      </c>
      <c r="H75" t="s">
        <v>36</v>
      </c>
      <c r="I75" s="5">
        <v>45008</v>
      </c>
      <c r="K75" s="6" cm="1">
        <f t="array" ref="K75">_xlfn.IFS(Won[[#This Row],[SALES CHANNEL]]="RENEWAL",Won[[#This Row],[DEAL SIZE]]*Dashboard!$B$7,Won[[#This Row],[SALES CHANNEL]]="AD-HOC",Won[[#This Row],[DEAL SIZE]]*Dashboard!$B$8,Won[[#This Row],[SALES CHANNEL]]="NEW BUSINESS",Won[[#This Row],[DEAL SIZE]]*Dashboard!$B$9)</f>
        <v>3826.8</v>
      </c>
    </row>
    <row r="76" spans="1:11" x14ac:dyDescent="0.3">
      <c r="A76" t="str">
        <f>IF($C76="","",Dashboard!$B$3)</f>
        <v>Kelly</v>
      </c>
      <c r="B76" t="str">
        <f t="shared" si="1"/>
        <v>MARCH</v>
      </c>
      <c r="C76" t="s">
        <v>98</v>
      </c>
      <c r="D76" s="6">
        <v>18910</v>
      </c>
      <c r="H76" t="s">
        <v>36</v>
      </c>
      <c r="I76" s="5">
        <v>45008</v>
      </c>
      <c r="K76" s="6" cm="1">
        <f t="array" ref="K76">_xlfn.IFS(Won[[#This Row],[SALES CHANNEL]]="RENEWAL",Won[[#This Row],[DEAL SIZE]]*Dashboard!$B$7,Won[[#This Row],[SALES CHANNEL]]="AD-HOC",Won[[#This Row],[DEAL SIZE]]*Dashboard!$B$8,Won[[#This Row],[SALES CHANNEL]]="NEW BUSINESS",Won[[#This Row],[DEAL SIZE]]*Dashboard!$B$9)</f>
        <v>3782</v>
      </c>
    </row>
    <row r="77" spans="1:11" x14ac:dyDescent="0.3">
      <c r="A77" t="str">
        <f>IF($C77="","",Dashboard!$B$3)</f>
        <v>Kelly</v>
      </c>
      <c r="B77" t="str">
        <f t="shared" si="1"/>
        <v>APRIL</v>
      </c>
      <c r="C77" t="s">
        <v>100</v>
      </c>
      <c r="D77" s="6">
        <v>18892</v>
      </c>
      <c r="H77" t="s">
        <v>14</v>
      </c>
      <c r="I77" s="5">
        <v>45018</v>
      </c>
      <c r="K77" s="6" cm="1">
        <f t="array" ref="K77">_xlfn.IFS(Won[[#This Row],[SALES CHANNEL]]="RENEWAL",Won[[#This Row],[DEAL SIZE]]*Dashboard!$B$7,Won[[#This Row],[SALES CHANNEL]]="AD-HOC",Won[[#This Row],[DEAL SIZE]]*Dashboard!$B$8,Won[[#This Row],[SALES CHANNEL]]="NEW BUSINESS",Won[[#This Row],[DEAL SIZE]]*Dashboard!$B$9)</f>
        <v>1889.2</v>
      </c>
    </row>
    <row r="78" spans="1:11" x14ac:dyDescent="0.3">
      <c r="A78" t="str">
        <f>IF($C78="","",Dashboard!$B$3)</f>
        <v>Kelly</v>
      </c>
      <c r="B78" t="str">
        <f t="shared" si="1"/>
        <v>APRIL</v>
      </c>
      <c r="C78" t="s">
        <v>101</v>
      </c>
      <c r="D78" s="6">
        <v>16198</v>
      </c>
      <c r="H78" t="s">
        <v>36</v>
      </c>
      <c r="I78" s="5">
        <v>45021</v>
      </c>
      <c r="K78" s="6" cm="1">
        <f t="array" ref="K78">_xlfn.IFS(Won[[#This Row],[SALES CHANNEL]]="RENEWAL",Won[[#This Row],[DEAL SIZE]]*Dashboard!$B$7,Won[[#This Row],[SALES CHANNEL]]="AD-HOC",Won[[#This Row],[DEAL SIZE]]*Dashboard!$B$8,Won[[#This Row],[SALES CHANNEL]]="NEW BUSINESS",Won[[#This Row],[DEAL SIZE]]*Dashboard!$B$9)</f>
        <v>3239.6000000000004</v>
      </c>
    </row>
    <row r="79" spans="1:11" x14ac:dyDescent="0.3">
      <c r="A79" t="str">
        <f>IF($C79="","",Dashboard!$B$3)</f>
        <v>Kelly</v>
      </c>
      <c r="B79" t="str">
        <f t="shared" si="1"/>
        <v>APRIL</v>
      </c>
      <c r="C79" t="s">
        <v>102</v>
      </c>
      <c r="D79" s="6">
        <v>9556</v>
      </c>
      <c r="H79" t="s">
        <v>28</v>
      </c>
      <c r="I79" s="5">
        <v>45021</v>
      </c>
      <c r="K79" s="6" cm="1">
        <f t="array" ref="K79">_xlfn.IFS(Won[[#This Row],[SALES CHANNEL]]="RENEWAL",Won[[#This Row],[DEAL SIZE]]*Dashboard!$B$7,Won[[#This Row],[SALES CHANNEL]]="AD-HOC",Won[[#This Row],[DEAL SIZE]]*Dashboard!$B$8,Won[[#This Row],[SALES CHANNEL]]="NEW BUSINESS",Won[[#This Row],[DEAL SIZE]]*Dashboard!$B$9)</f>
        <v>477.8</v>
      </c>
    </row>
    <row r="80" spans="1:11" x14ac:dyDescent="0.3">
      <c r="A80" t="str">
        <f>IF($C80="","",Dashboard!$B$3)</f>
        <v>Kelly</v>
      </c>
      <c r="B80" t="str">
        <f t="shared" si="1"/>
        <v>APRIL</v>
      </c>
      <c r="C80" t="s">
        <v>103</v>
      </c>
      <c r="D80" s="6">
        <v>8200.7999999999993</v>
      </c>
      <c r="H80" t="s">
        <v>28</v>
      </c>
      <c r="I80" s="5">
        <v>45028</v>
      </c>
      <c r="K80" s="6" cm="1">
        <f t="array" ref="K80">_xlfn.IFS(Won[[#This Row],[SALES CHANNEL]]="RENEWAL",Won[[#This Row],[DEAL SIZE]]*Dashboard!$B$7,Won[[#This Row],[SALES CHANNEL]]="AD-HOC",Won[[#This Row],[DEAL SIZE]]*Dashboard!$B$8,Won[[#This Row],[SALES CHANNEL]]="NEW BUSINESS",Won[[#This Row],[DEAL SIZE]]*Dashboard!$B$9)</f>
        <v>410.03999999999996</v>
      </c>
    </row>
    <row r="81" spans="1:11" x14ac:dyDescent="0.3">
      <c r="A81" t="str">
        <f>IF($C81="","",Dashboard!$B$3)</f>
        <v>Kelly</v>
      </c>
      <c r="B81" t="str">
        <f t="shared" si="1"/>
        <v>APRIL</v>
      </c>
      <c r="C81" t="s">
        <v>104</v>
      </c>
      <c r="D81" s="6">
        <v>9510.65</v>
      </c>
      <c r="H81" t="s">
        <v>28</v>
      </c>
      <c r="I81" s="5">
        <v>45028</v>
      </c>
      <c r="K81" s="6" cm="1">
        <f t="array" ref="K81">_xlfn.IFS(Won[[#This Row],[SALES CHANNEL]]="RENEWAL",Won[[#This Row],[DEAL SIZE]]*Dashboard!$B$7,Won[[#This Row],[SALES CHANNEL]]="AD-HOC",Won[[#This Row],[DEAL SIZE]]*Dashboard!$B$8,Won[[#This Row],[SALES CHANNEL]]="NEW BUSINESS",Won[[#This Row],[DEAL SIZE]]*Dashboard!$B$9)</f>
        <v>475.53250000000003</v>
      </c>
    </row>
    <row r="82" spans="1:11" x14ac:dyDescent="0.3">
      <c r="A82" t="str">
        <f>IF($C82="","",Dashboard!$B$3)</f>
        <v>Kelly</v>
      </c>
      <c r="B82" t="str">
        <f t="shared" si="1"/>
        <v>APRIL</v>
      </c>
      <c r="C82" t="s">
        <v>105</v>
      </c>
      <c r="D82" s="6">
        <v>12534.1</v>
      </c>
      <c r="H82" t="s">
        <v>28</v>
      </c>
      <c r="I82" s="5">
        <v>45028</v>
      </c>
      <c r="K82" s="6" cm="1">
        <f t="array" ref="K82">_xlfn.IFS(Won[[#This Row],[SALES CHANNEL]]="RENEWAL",Won[[#This Row],[DEAL SIZE]]*Dashboard!$B$7,Won[[#This Row],[SALES CHANNEL]]="AD-HOC",Won[[#This Row],[DEAL SIZE]]*Dashboard!$B$8,Won[[#This Row],[SALES CHANNEL]]="NEW BUSINESS",Won[[#This Row],[DEAL SIZE]]*Dashboard!$B$9)</f>
        <v>626.70500000000004</v>
      </c>
    </row>
    <row r="83" spans="1:11" x14ac:dyDescent="0.3">
      <c r="A83" t="str">
        <f>IF($C83="","",Dashboard!$B$3)</f>
        <v>Kelly</v>
      </c>
      <c r="B83" t="str">
        <f t="shared" si="1"/>
        <v>APRIL</v>
      </c>
      <c r="C83" t="s">
        <v>106</v>
      </c>
      <c r="D83" s="6">
        <v>14066.65</v>
      </c>
      <c r="H83" t="s">
        <v>28</v>
      </c>
      <c r="I83" s="5">
        <v>45031</v>
      </c>
      <c r="K83" s="6" cm="1">
        <f t="array" ref="K83">_xlfn.IFS(Won[[#This Row],[SALES CHANNEL]]="RENEWAL",Won[[#This Row],[DEAL SIZE]]*Dashboard!$B$7,Won[[#This Row],[SALES CHANNEL]]="AD-HOC",Won[[#This Row],[DEAL SIZE]]*Dashboard!$B$8,Won[[#This Row],[SALES CHANNEL]]="NEW BUSINESS",Won[[#This Row],[DEAL SIZE]]*Dashboard!$B$9)</f>
        <v>703.33249999999998</v>
      </c>
    </row>
    <row r="84" spans="1:11" x14ac:dyDescent="0.3">
      <c r="A84" t="str">
        <f>IF($C84="","",Dashboard!$B$3)</f>
        <v>Kelly</v>
      </c>
      <c r="B84" t="str">
        <f t="shared" si="1"/>
        <v>APRIL</v>
      </c>
      <c r="C84" t="s">
        <v>107</v>
      </c>
      <c r="D84" s="6">
        <v>10442.25</v>
      </c>
      <c r="H84" t="s">
        <v>36</v>
      </c>
      <c r="I84" s="5">
        <v>45031</v>
      </c>
      <c r="K84" s="6" cm="1">
        <f t="array" ref="K84">_xlfn.IFS(Won[[#This Row],[SALES CHANNEL]]="RENEWAL",Won[[#This Row],[DEAL SIZE]]*Dashboard!$B$7,Won[[#This Row],[SALES CHANNEL]]="AD-HOC",Won[[#This Row],[DEAL SIZE]]*Dashboard!$B$8,Won[[#This Row],[SALES CHANNEL]]="NEW BUSINESS",Won[[#This Row],[DEAL SIZE]]*Dashboard!$B$9)</f>
        <v>2088.4500000000003</v>
      </c>
    </row>
    <row r="85" spans="1:11" x14ac:dyDescent="0.3">
      <c r="A85" t="str">
        <f>IF($C85="","",Dashboard!$B$3)</f>
        <v>Kelly</v>
      </c>
      <c r="B85" t="str">
        <f t="shared" si="1"/>
        <v>APRIL</v>
      </c>
      <c r="C85" t="s">
        <v>108</v>
      </c>
      <c r="D85" s="6">
        <v>9152.7999999999993</v>
      </c>
      <c r="H85" t="s">
        <v>28</v>
      </c>
      <c r="I85" s="5">
        <v>45031</v>
      </c>
      <c r="K85" s="6" cm="1">
        <f t="array" ref="K85">_xlfn.IFS(Won[[#This Row],[SALES CHANNEL]]="RENEWAL",Won[[#This Row],[DEAL SIZE]]*Dashboard!$B$7,Won[[#This Row],[SALES CHANNEL]]="AD-HOC",Won[[#This Row],[DEAL SIZE]]*Dashboard!$B$8,Won[[#This Row],[SALES CHANNEL]]="NEW BUSINESS",Won[[#This Row],[DEAL SIZE]]*Dashboard!$B$9)</f>
        <v>457.64</v>
      </c>
    </row>
    <row r="86" spans="1:11" x14ac:dyDescent="0.3">
      <c r="A86" t="str">
        <f>IF($C86="","",Dashboard!$B$3)</f>
        <v>Kelly</v>
      </c>
      <c r="B86" t="str">
        <f t="shared" si="1"/>
        <v>APRIL</v>
      </c>
      <c r="C86" t="s">
        <v>109</v>
      </c>
      <c r="D86" s="6">
        <v>13448.699999999999</v>
      </c>
      <c r="H86" t="s">
        <v>36</v>
      </c>
      <c r="I86" s="5">
        <v>45034</v>
      </c>
      <c r="K86" s="6" cm="1">
        <f t="array" ref="K86">_xlfn.IFS(Won[[#This Row],[SALES CHANNEL]]="RENEWAL",Won[[#This Row],[DEAL SIZE]]*Dashboard!$B$7,Won[[#This Row],[SALES CHANNEL]]="AD-HOC",Won[[#This Row],[DEAL SIZE]]*Dashboard!$B$8,Won[[#This Row],[SALES CHANNEL]]="NEW BUSINESS",Won[[#This Row],[DEAL SIZE]]*Dashboard!$B$9)</f>
        <v>2689.74</v>
      </c>
    </row>
    <row r="87" spans="1:11" x14ac:dyDescent="0.3">
      <c r="A87" t="str">
        <f>IF($C87="","",Dashboard!$B$3)</f>
        <v>Kelly</v>
      </c>
      <c r="B87" t="str">
        <f t="shared" si="1"/>
        <v>APRIL</v>
      </c>
      <c r="C87" t="s">
        <v>111</v>
      </c>
      <c r="D87" s="6">
        <v>14214.55</v>
      </c>
      <c r="H87" t="s">
        <v>36</v>
      </c>
      <c r="I87" s="5">
        <v>45035</v>
      </c>
      <c r="K87" s="6" cm="1">
        <f t="array" ref="K87">_xlfn.IFS(Won[[#This Row],[SALES CHANNEL]]="RENEWAL",Won[[#This Row],[DEAL SIZE]]*Dashboard!$B$7,Won[[#This Row],[SALES CHANNEL]]="AD-HOC",Won[[#This Row],[DEAL SIZE]]*Dashboard!$B$8,Won[[#This Row],[SALES CHANNEL]]="NEW BUSINESS",Won[[#This Row],[DEAL SIZE]]*Dashboard!$B$9)</f>
        <v>2842.91</v>
      </c>
    </row>
    <row r="88" spans="1:11" x14ac:dyDescent="0.3">
      <c r="A88" t="str">
        <f>IF($C88="","",Dashboard!$B$3)</f>
        <v>Kelly</v>
      </c>
      <c r="B88" t="str">
        <f t="shared" si="1"/>
        <v>APRIL</v>
      </c>
      <c r="C88" t="s">
        <v>112</v>
      </c>
      <c r="D88" s="6">
        <v>16424.55</v>
      </c>
      <c r="H88" t="s">
        <v>28</v>
      </c>
      <c r="I88" s="5">
        <v>45036</v>
      </c>
      <c r="K88" s="6" cm="1">
        <f t="array" ref="K88">_xlfn.IFS(Won[[#This Row],[SALES CHANNEL]]="RENEWAL",Won[[#This Row],[DEAL SIZE]]*Dashboard!$B$7,Won[[#This Row],[SALES CHANNEL]]="AD-HOC",Won[[#This Row],[DEAL SIZE]]*Dashboard!$B$8,Won[[#This Row],[SALES CHANNEL]]="NEW BUSINESS",Won[[#This Row],[DEAL SIZE]]*Dashboard!$B$9)</f>
        <v>821.22749999999996</v>
      </c>
    </row>
    <row r="89" spans="1:11" x14ac:dyDescent="0.3">
      <c r="A89" t="str">
        <f>IF($C89="","",Dashboard!$B$3)</f>
        <v>Kelly</v>
      </c>
      <c r="B89" t="str">
        <f t="shared" si="1"/>
        <v>APRIL</v>
      </c>
      <c r="C89" t="s">
        <v>113</v>
      </c>
      <c r="D89" s="6">
        <v>13042.4</v>
      </c>
      <c r="H89" t="s">
        <v>14</v>
      </c>
      <c r="I89" s="5">
        <v>45038</v>
      </c>
      <c r="K89" s="6" cm="1">
        <f t="array" ref="K89">_xlfn.IFS(Won[[#This Row],[SALES CHANNEL]]="RENEWAL",Won[[#This Row],[DEAL SIZE]]*Dashboard!$B$7,Won[[#This Row],[SALES CHANNEL]]="AD-HOC",Won[[#This Row],[DEAL SIZE]]*Dashboard!$B$8,Won[[#This Row],[SALES CHANNEL]]="NEW BUSINESS",Won[[#This Row],[DEAL SIZE]]*Dashboard!$B$9)</f>
        <v>1304.24</v>
      </c>
    </row>
    <row r="90" spans="1:11" x14ac:dyDescent="0.3">
      <c r="A90" t="str">
        <f>IF($C90="","",Dashboard!$B$3)</f>
        <v>Kelly</v>
      </c>
      <c r="B90" t="str">
        <f t="shared" si="1"/>
        <v>APRIL</v>
      </c>
      <c r="C90" t="s">
        <v>114</v>
      </c>
      <c r="D90" s="6">
        <v>16263.9</v>
      </c>
      <c r="H90" t="s">
        <v>36</v>
      </c>
      <c r="I90" s="5">
        <v>45038</v>
      </c>
      <c r="K90" s="6" cm="1">
        <f t="array" ref="K90">_xlfn.IFS(Won[[#This Row],[SALES CHANNEL]]="RENEWAL",Won[[#This Row],[DEAL SIZE]]*Dashboard!$B$7,Won[[#This Row],[SALES CHANNEL]]="AD-HOC",Won[[#This Row],[DEAL SIZE]]*Dashboard!$B$8,Won[[#This Row],[SALES CHANNEL]]="NEW BUSINESS",Won[[#This Row],[DEAL SIZE]]*Dashboard!$B$9)</f>
        <v>3252.78</v>
      </c>
    </row>
    <row r="91" spans="1:11" x14ac:dyDescent="0.3">
      <c r="A91" t="str">
        <f>IF($C91="","",Dashboard!$B$3)</f>
        <v>Kelly</v>
      </c>
      <c r="B91" t="str">
        <f t="shared" si="1"/>
        <v>APRIL</v>
      </c>
      <c r="C91" t="s">
        <v>107</v>
      </c>
      <c r="D91" s="6">
        <v>16073.5</v>
      </c>
      <c r="H91" t="s">
        <v>36</v>
      </c>
      <c r="I91" s="5">
        <v>45039</v>
      </c>
      <c r="K91" s="6" cm="1">
        <f t="array" ref="K91">_xlfn.IFS(Won[[#This Row],[SALES CHANNEL]]="RENEWAL",Won[[#This Row],[DEAL SIZE]]*Dashboard!$B$7,Won[[#This Row],[SALES CHANNEL]]="AD-HOC",Won[[#This Row],[DEAL SIZE]]*Dashboard!$B$8,Won[[#This Row],[SALES CHANNEL]]="NEW BUSINESS",Won[[#This Row],[DEAL SIZE]]*Dashboard!$B$9)</f>
        <v>3214.7000000000003</v>
      </c>
    </row>
    <row r="92" spans="1:11" x14ac:dyDescent="0.3">
      <c r="A92" t="str">
        <f>IF($C92="","",Dashboard!$B$3)</f>
        <v>Kelly</v>
      </c>
      <c r="B92" t="str">
        <f t="shared" si="1"/>
        <v>APRIL</v>
      </c>
      <c r="C92" t="s">
        <v>115</v>
      </c>
      <c r="D92" s="6">
        <v>16058.199999999999</v>
      </c>
      <c r="H92" t="s">
        <v>28</v>
      </c>
      <c r="I92" s="5">
        <v>45041</v>
      </c>
      <c r="K92" s="6" cm="1">
        <f t="array" ref="K92">_xlfn.IFS(Won[[#This Row],[SALES CHANNEL]]="RENEWAL",Won[[#This Row],[DEAL SIZE]]*Dashboard!$B$7,Won[[#This Row],[SALES CHANNEL]]="AD-HOC",Won[[#This Row],[DEAL SIZE]]*Dashboard!$B$8,Won[[#This Row],[SALES CHANNEL]]="NEW BUSINESS",Won[[#This Row],[DEAL SIZE]]*Dashboard!$B$9)</f>
        <v>802.91</v>
      </c>
    </row>
    <row r="93" spans="1:11" x14ac:dyDescent="0.3">
      <c r="A93" t="str">
        <f>IF($C93="","",Dashboard!$B$3)</f>
        <v>Kelly</v>
      </c>
      <c r="B93" t="str">
        <f t="shared" si="1"/>
        <v>APRIL</v>
      </c>
      <c r="C93" t="s">
        <v>69</v>
      </c>
      <c r="D93" s="6">
        <v>13768.3</v>
      </c>
      <c r="H93" t="s">
        <v>36</v>
      </c>
      <c r="I93" s="5">
        <v>45044</v>
      </c>
      <c r="K93" s="6" cm="1">
        <f t="array" ref="K93">_xlfn.IFS(Won[[#This Row],[SALES CHANNEL]]="RENEWAL",Won[[#This Row],[DEAL SIZE]]*Dashboard!$B$7,Won[[#This Row],[SALES CHANNEL]]="AD-HOC",Won[[#This Row],[DEAL SIZE]]*Dashboard!$B$8,Won[[#This Row],[SALES CHANNEL]]="NEW BUSINESS",Won[[#This Row],[DEAL SIZE]]*Dashboard!$B$9)</f>
        <v>2753.66</v>
      </c>
    </row>
    <row r="94" spans="1:11" x14ac:dyDescent="0.3">
      <c r="A94" t="str">
        <f>IF($C94="","",Dashboard!$B$3)</f>
        <v>Kelly</v>
      </c>
      <c r="B94" t="str">
        <f t="shared" si="1"/>
        <v>APRIL</v>
      </c>
      <c r="C94" t="s">
        <v>97</v>
      </c>
      <c r="D94" s="6">
        <v>8122.5999999999995</v>
      </c>
      <c r="H94" t="s">
        <v>14</v>
      </c>
      <c r="I94" s="5">
        <v>45045</v>
      </c>
      <c r="K94" s="6" cm="1">
        <f t="array" ref="K94">_xlfn.IFS(Won[[#This Row],[SALES CHANNEL]]="RENEWAL",Won[[#This Row],[DEAL SIZE]]*Dashboard!$B$7,Won[[#This Row],[SALES CHANNEL]]="AD-HOC",Won[[#This Row],[DEAL SIZE]]*Dashboard!$B$8,Won[[#This Row],[SALES CHANNEL]]="NEW BUSINESS",Won[[#This Row],[DEAL SIZE]]*Dashboard!$B$9)</f>
        <v>812.26</v>
      </c>
    </row>
    <row r="95" spans="1:11" x14ac:dyDescent="0.3">
      <c r="A95" t="str">
        <f>IF($C95="","",Dashboard!$B$3)</f>
        <v>Kelly</v>
      </c>
      <c r="B95" t="str">
        <f t="shared" si="1"/>
        <v>MAY</v>
      </c>
      <c r="C95" t="s">
        <v>118</v>
      </c>
      <c r="D95" s="6">
        <v>12534.1</v>
      </c>
      <c r="H95" t="s">
        <v>14</v>
      </c>
      <c r="I95" s="5">
        <v>45047</v>
      </c>
      <c r="K95" s="6" cm="1">
        <f t="array" ref="K95">_xlfn.IFS(Won[[#This Row],[SALES CHANNEL]]="RENEWAL",Won[[#This Row],[DEAL SIZE]]*Dashboard!$B$7,Won[[#This Row],[SALES CHANNEL]]="AD-HOC",Won[[#This Row],[DEAL SIZE]]*Dashboard!$B$8,Won[[#This Row],[SALES CHANNEL]]="NEW BUSINESS",Won[[#This Row],[DEAL SIZE]]*Dashboard!$B$9)</f>
        <v>1253.4100000000001</v>
      </c>
    </row>
    <row r="96" spans="1:11" x14ac:dyDescent="0.3">
      <c r="A96" t="str">
        <f>IF($C96="","",Dashboard!$B$3)</f>
        <v>Kelly</v>
      </c>
      <c r="B96" t="str">
        <f t="shared" si="1"/>
        <v>MAY</v>
      </c>
      <c r="C96" t="s">
        <v>119</v>
      </c>
      <c r="D96" s="6">
        <v>14066.65</v>
      </c>
      <c r="H96" t="s">
        <v>14</v>
      </c>
      <c r="I96" s="5">
        <v>45047</v>
      </c>
      <c r="K96" s="6" cm="1">
        <f t="array" ref="K96">_xlfn.IFS(Won[[#This Row],[SALES CHANNEL]]="RENEWAL",Won[[#This Row],[DEAL SIZE]]*Dashboard!$B$7,Won[[#This Row],[SALES CHANNEL]]="AD-HOC",Won[[#This Row],[DEAL SIZE]]*Dashboard!$B$8,Won[[#This Row],[SALES CHANNEL]]="NEW BUSINESS",Won[[#This Row],[DEAL SIZE]]*Dashboard!$B$9)</f>
        <v>1406.665</v>
      </c>
    </row>
    <row r="97" spans="1:11" x14ac:dyDescent="0.3">
      <c r="A97" t="str">
        <f>IF($C97="","",Dashboard!$B$3)</f>
        <v>Kelly</v>
      </c>
      <c r="B97" t="str">
        <f t="shared" si="1"/>
        <v>MAY</v>
      </c>
      <c r="C97" t="s">
        <v>120</v>
      </c>
      <c r="D97" s="6">
        <v>10442.25</v>
      </c>
      <c r="H97" t="s">
        <v>36</v>
      </c>
      <c r="I97" s="5">
        <v>45047</v>
      </c>
      <c r="K97" s="6" cm="1">
        <f t="array" ref="K97">_xlfn.IFS(Won[[#This Row],[SALES CHANNEL]]="RENEWAL",Won[[#This Row],[DEAL SIZE]]*Dashboard!$B$7,Won[[#This Row],[SALES CHANNEL]]="AD-HOC",Won[[#This Row],[DEAL SIZE]]*Dashboard!$B$8,Won[[#This Row],[SALES CHANNEL]]="NEW BUSINESS",Won[[#This Row],[DEAL SIZE]]*Dashboard!$B$9)</f>
        <v>2088.4500000000003</v>
      </c>
    </row>
    <row r="98" spans="1:11" x14ac:dyDescent="0.3">
      <c r="A98" t="str">
        <f>IF($C98="","",Dashboard!$B$3)</f>
        <v>Kelly</v>
      </c>
      <c r="B98" t="str">
        <f t="shared" si="1"/>
        <v>MAY</v>
      </c>
      <c r="C98" t="s">
        <v>121</v>
      </c>
      <c r="D98" s="6">
        <v>9152.7999999999993</v>
      </c>
      <c r="H98" t="s">
        <v>36</v>
      </c>
      <c r="I98" s="5">
        <v>45047</v>
      </c>
      <c r="K98" s="6" cm="1">
        <f t="array" ref="K98">_xlfn.IFS(Won[[#This Row],[SALES CHANNEL]]="RENEWAL",Won[[#This Row],[DEAL SIZE]]*Dashboard!$B$7,Won[[#This Row],[SALES CHANNEL]]="AD-HOC",Won[[#This Row],[DEAL SIZE]]*Dashboard!$B$8,Won[[#This Row],[SALES CHANNEL]]="NEW BUSINESS",Won[[#This Row],[DEAL SIZE]]*Dashboard!$B$9)</f>
        <v>1830.56</v>
      </c>
    </row>
    <row r="99" spans="1:11" x14ac:dyDescent="0.3">
      <c r="A99" t="str">
        <f>IF($C99="","",Dashboard!$B$3)</f>
        <v>Kelly</v>
      </c>
      <c r="B99" t="str">
        <f t="shared" si="1"/>
        <v>MAY</v>
      </c>
      <c r="C99" t="s">
        <v>122</v>
      </c>
      <c r="D99" s="6">
        <v>13448.699999999999</v>
      </c>
      <c r="H99" t="s">
        <v>36</v>
      </c>
      <c r="I99" s="5">
        <v>45047</v>
      </c>
      <c r="K99" s="6" cm="1">
        <f t="array" ref="K99">_xlfn.IFS(Won[[#This Row],[SALES CHANNEL]]="RENEWAL",Won[[#This Row],[DEAL SIZE]]*Dashboard!$B$7,Won[[#This Row],[SALES CHANNEL]]="AD-HOC",Won[[#This Row],[DEAL SIZE]]*Dashboard!$B$8,Won[[#This Row],[SALES CHANNEL]]="NEW BUSINESS",Won[[#This Row],[DEAL SIZE]]*Dashboard!$B$9)</f>
        <v>2689.74</v>
      </c>
    </row>
    <row r="100" spans="1:11" x14ac:dyDescent="0.3">
      <c r="A100" t="str">
        <f>IF($C100="","",Dashboard!$B$3)</f>
        <v>Kelly</v>
      </c>
      <c r="B100" t="str">
        <f t="shared" si="1"/>
        <v>MAY</v>
      </c>
      <c r="C100" t="s">
        <v>123</v>
      </c>
      <c r="D100" s="6">
        <v>14214.55</v>
      </c>
      <c r="H100" t="s">
        <v>28</v>
      </c>
      <c r="I100" s="5">
        <v>45056</v>
      </c>
      <c r="K100" s="6" cm="1">
        <f t="array" ref="K100">_xlfn.IFS(Won[[#This Row],[SALES CHANNEL]]="RENEWAL",Won[[#This Row],[DEAL SIZE]]*Dashboard!$B$7,Won[[#This Row],[SALES CHANNEL]]="AD-HOC",Won[[#This Row],[DEAL SIZE]]*Dashboard!$B$8,Won[[#This Row],[SALES CHANNEL]]="NEW BUSINESS",Won[[#This Row],[DEAL SIZE]]*Dashboard!$B$9)</f>
        <v>710.72749999999996</v>
      </c>
    </row>
    <row r="101" spans="1:11" x14ac:dyDescent="0.3">
      <c r="A101" t="str">
        <f>IF($C101="","",Dashboard!$B$3)</f>
        <v>Kelly</v>
      </c>
      <c r="B101" t="str">
        <f t="shared" si="1"/>
        <v>MAY</v>
      </c>
      <c r="C101" t="s">
        <v>124</v>
      </c>
      <c r="D101" s="6">
        <v>16424.55</v>
      </c>
      <c r="H101" t="s">
        <v>28</v>
      </c>
      <c r="I101" s="5">
        <v>45056</v>
      </c>
      <c r="K101" s="6" cm="1">
        <f t="array" ref="K101">_xlfn.IFS(Won[[#This Row],[SALES CHANNEL]]="RENEWAL",Won[[#This Row],[DEAL SIZE]]*Dashboard!$B$7,Won[[#This Row],[SALES CHANNEL]]="AD-HOC",Won[[#This Row],[DEAL SIZE]]*Dashboard!$B$8,Won[[#This Row],[SALES CHANNEL]]="NEW BUSINESS",Won[[#This Row],[DEAL SIZE]]*Dashboard!$B$9)</f>
        <v>821.22749999999996</v>
      </c>
    </row>
    <row r="102" spans="1:11" x14ac:dyDescent="0.3">
      <c r="A102" t="str">
        <f>IF($C102="","",Dashboard!$B$3)</f>
        <v>Kelly</v>
      </c>
      <c r="B102" t="str">
        <f t="shared" si="1"/>
        <v>MAY</v>
      </c>
      <c r="C102" t="s">
        <v>125</v>
      </c>
      <c r="D102" s="6">
        <v>13042.4</v>
      </c>
      <c r="H102" t="s">
        <v>28</v>
      </c>
      <c r="I102" s="5">
        <v>45061</v>
      </c>
      <c r="K102" s="6" cm="1">
        <f t="array" ref="K102">_xlfn.IFS(Won[[#This Row],[SALES CHANNEL]]="RENEWAL",Won[[#This Row],[DEAL SIZE]]*Dashboard!$B$7,Won[[#This Row],[SALES CHANNEL]]="AD-HOC",Won[[#This Row],[DEAL SIZE]]*Dashboard!$B$8,Won[[#This Row],[SALES CHANNEL]]="NEW BUSINESS",Won[[#This Row],[DEAL SIZE]]*Dashboard!$B$9)</f>
        <v>652.12</v>
      </c>
    </row>
    <row r="103" spans="1:11" x14ac:dyDescent="0.3">
      <c r="A103" t="str">
        <f>IF($C103="","",Dashboard!$B$3)</f>
        <v>Kelly</v>
      </c>
      <c r="B103" t="str">
        <f t="shared" si="1"/>
        <v>MAY</v>
      </c>
      <c r="C103" t="s">
        <v>126</v>
      </c>
      <c r="D103" s="6">
        <v>16263.9</v>
      </c>
      <c r="H103" t="s">
        <v>28</v>
      </c>
      <c r="I103" s="5">
        <v>45061</v>
      </c>
      <c r="K103" s="6" cm="1">
        <f t="array" ref="K103">_xlfn.IFS(Won[[#This Row],[SALES CHANNEL]]="RENEWAL",Won[[#This Row],[DEAL SIZE]]*Dashboard!$B$7,Won[[#This Row],[SALES CHANNEL]]="AD-HOC",Won[[#This Row],[DEAL SIZE]]*Dashboard!$B$8,Won[[#This Row],[SALES CHANNEL]]="NEW BUSINESS",Won[[#This Row],[DEAL SIZE]]*Dashboard!$B$9)</f>
        <v>813.19500000000005</v>
      </c>
    </row>
    <row r="104" spans="1:11" x14ac:dyDescent="0.3">
      <c r="A104" t="str">
        <f>IF($C104="","",Dashboard!$B$3)</f>
        <v>Kelly</v>
      </c>
      <c r="B104" t="str">
        <f t="shared" si="1"/>
        <v>MAY</v>
      </c>
      <c r="C104" t="s">
        <v>127</v>
      </c>
      <c r="D104" s="6">
        <v>16073.5</v>
      </c>
      <c r="H104" t="s">
        <v>36</v>
      </c>
      <c r="I104" s="5">
        <v>45061</v>
      </c>
      <c r="K104" s="6" cm="1">
        <f t="array" ref="K104">_xlfn.IFS(Won[[#This Row],[SALES CHANNEL]]="RENEWAL",Won[[#This Row],[DEAL SIZE]]*Dashboard!$B$7,Won[[#This Row],[SALES CHANNEL]]="AD-HOC",Won[[#This Row],[DEAL SIZE]]*Dashboard!$B$8,Won[[#This Row],[SALES CHANNEL]]="NEW BUSINESS",Won[[#This Row],[DEAL SIZE]]*Dashboard!$B$9)</f>
        <v>3214.7000000000003</v>
      </c>
    </row>
    <row r="105" spans="1:11" x14ac:dyDescent="0.3">
      <c r="A105" t="str">
        <f>IF($C105="","",Dashboard!$B$3)</f>
        <v>Kelly</v>
      </c>
      <c r="B105" t="str">
        <f t="shared" si="1"/>
        <v>MAY</v>
      </c>
      <c r="C105" t="s">
        <v>128</v>
      </c>
      <c r="D105" s="6">
        <v>16058.199999999999</v>
      </c>
      <c r="H105" t="s">
        <v>36</v>
      </c>
      <c r="I105" s="5">
        <v>45066</v>
      </c>
      <c r="K105" s="6" cm="1">
        <f t="array" ref="K105">_xlfn.IFS(Won[[#This Row],[SALES CHANNEL]]="RENEWAL",Won[[#This Row],[DEAL SIZE]]*Dashboard!$B$7,Won[[#This Row],[SALES CHANNEL]]="AD-HOC",Won[[#This Row],[DEAL SIZE]]*Dashboard!$B$8,Won[[#This Row],[SALES CHANNEL]]="NEW BUSINESS",Won[[#This Row],[DEAL SIZE]]*Dashboard!$B$9)</f>
        <v>3211.64</v>
      </c>
    </row>
    <row r="106" spans="1:11" x14ac:dyDescent="0.3">
      <c r="A106" t="str">
        <f>IF($C106="","",Dashboard!$B$3)</f>
        <v>Kelly</v>
      </c>
      <c r="B106" t="str">
        <f t="shared" si="1"/>
        <v>MAY</v>
      </c>
      <c r="C106" t="s">
        <v>129</v>
      </c>
      <c r="D106" s="6">
        <v>13768.3</v>
      </c>
      <c r="H106" t="s">
        <v>36</v>
      </c>
      <c r="I106" s="5">
        <v>45068</v>
      </c>
      <c r="K106" s="6" cm="1">
        <f t="array" ref="K106">_xlfn.IFS(Won[[#This Row],[SALES CHANNEL]]="RENEWAL",Won[[#This Row],[DEAL SIZE]]*Dashboard!$B$7,Won[[#This Row],[SALES CHANNEL]]="AD-HOC",Won[[#This Row],[DEAL SIZE]]*Dashboard!$B$8,Won[[#This Row],[SALES CHANNEL]]="NEW BUSINESS",Won[[#This Row],[DEAL SIZE]]*Dashboard!$B$9)</f>
        <v>2753.66</v>
      </c>
    </row>
    <row r="107" spans="1:11" x14ac:dyDescent="0.3">
      <c r="A107" t="str">
        <f>IF($C107="","",Dashboard!$B$3)</f>
        <v>Kelly</v>
      </c>
      <c r="B107" t="str">
        <f t="shared" si="1"/>
        <v>MAY</v>
      </c>
      <c r="C107" t="s">
        <v>70</v>
      </c>
      <c r="D107" s="6">
        <v>8122.5999999999995</v>
      </c>
      <c r="H107" t="s">
        <v>14</v>
      </c>
      <c r="I107" s="5">
        <v>45071</v>
      </c>
      <c r="K107" s="6" cm="1">
        <f t="array" ref="K107">_xlfn.IFS(Won[[#This Row],[SALES CHANNEL]]="RENEWAL",Won[[#This Row],[DEAL SIZE]]*Dashboard!$B$7,Won[[#This Row],[SALES CHANNEL]]="AD-HOC",Won[[#This Row],[DEAL SIZE]]*Dashboard!$B$8,Won[[#This Row],[SALES CHANNEL]]="NEW BUSINESS",Won[[#This Row],[DEAL SIZE]]*Dashboard!$B$9)</f>
        <v>812.26</v>
      </c>
    </row>
    <row r="108" spans="1:11" x14ac:dyDescent="0.3">
      <c r="A108" t="str">
        <f>IF($C108="","",Dashboard!$B$3)</f>
        <v>Kelly</v>
      </c>
      <c r="B108" t="str">
        <f t="shared" si="1"/>
        <v>MAY</v>
      </c>
      <c r="C108" t="s">
        <v>130</v>
      </c>
      <c r="D108" s="6">
        <v>6584.9</v>
      </c>
      <c r="H108" t="s">
        <v>28</v>
      </c>
      <c r="I108" s="5">
        <v>45076</v>
      </c>
      <c r="K108" s="6" cm="1">
        <f t="array" ref="K108">_xlfn.IFS(Won[[#This Row],[SALES CHANNEL]]="RENEWAL",Won[[#This Row],[DEAL SIZE]]*Dashboard!$B$7,Won[[#This Row],[SALES CHANNEL]]="AD-HOC",Won[[#This Row],[DEAL SIZE]]*Dashboard!$B$8,Won[[#This Row],[SALES CHANNEL]]="NEW BUSINESS",Won[[#This Row],[DEAL SIZE]]*Dashboard!$B$9)</f>
        <v>329.245</v>
      </c>
    </row>
    <row r="109" spans="1:11" x14ac:dyDescent="0.3">
      <c r="A109" t="str">
        <f>IF($C109="","",Dashboard!$B$3)</f>
        <v>Kelly</v>
      </c>
      <c r="B109" t="str">
        <f t="shared" si="1"/>
        <v>MAY</v>
      </c>
      <c r="C109" t="s">
        <v>131</v>
      </c>
      <c r="D109" s="6">
        <v>11084.849999999999</v>
      </c>
      <c r="H109" t="s">
        <v>28</v>
      </c>
      <c r="I109" s="5">
        <v>45076</v>
      </c>
      <c r="K109" s="6" cm="1">
        <f t="array" ref="K109">_xlfn.IFS(Won[[#This Row],[SALES CHANNEL]]="RENEWAL",Won[[#This Row],[DEAL SIZE]]*Dashboard!$B$7,Won[[#This Row],[SALES CHANNEL]]="AD-HOC",Won[[#This Row],[DEAL SIZE]]*Dashboard!$B$8,Won[[#This Row],[SALES CHANNEL]]="NEW BUSINESS",Won[[#This Row],[DEAL SIZE]]*Dashboard!$B$9)</f>
        <v>554.24249999999995</v>
      </c>
    </row>
    <row r="110" spans="1:11" x14ac:dyDescent="0.3">
      <c r="A110" t="str">
        <f>IF($C110="","",Dashboard!$B$3)</f>
        <v>Kelly</v>
      </c>
      <c r="B110" t="str">
        <f t="shared" si="1"/>
        <v>MAY</v>
      </c>
      <c r="C110" t="s">
        <v>132</v>
      </c>
      <c r="D110" s="6">
        <v>14569.349999999999</v>
      </c>
      <c r="H110" t="s">
        <v>28</v>
      </c>
      <c r="I110" s="5">
        <v>45076</v>
      </c>
      <c r="K110" s="6" cm="1">
        <f t="array" ref="K110">_xlfn.IFS(Won[[#This Row],[SALES CHANNEL]]="RENEWAL",Won[[#This Row],[DEAL SIZE]]*Dashboard!$B$7,Won[[#This Row],[SALES CHANNEL]]="AD-HOC",Won[[#This Row],[DEAL SIZE]]*Dashboard!$B$8,Won[[#This Row],[SALES CHANNEL]]="NEW BUSINESS",Won[[#This Row],[DEAL SIZE]]*Dashboard!$B$9)</f>
        <v>728.46749999999997</v>
      </c>
    </row>
    <row r="111" spans="1:11" x14ac:dyDescent="0.3">
      <c r="A111" t="str">
        <f>IF($C111="","",Dashboard!$B$3)</f>
        <v>Kelly</v>
      </c>
      <c r="B111" t="str">
        <f t="shared" si="1"/>
        <v>MAY</v>
      </c>
      <c r="C111" t="s">
        <v>133</v>
      </c>
      <c r="D111" s="6">
        <v>9489.7999999999993</v>
      </c>
      <c r="H111" t="s">
        <v>28</v>
      </c>
      <c r="I111" s="5">
        <v>45076</v>
      </c>
      <c r="K111" s="6" cm="1">
        <f t="array" ref="K111">_xlfn.IFS(Won[[#This Row],[SALES CHANNEL]]="RENEWAL",Won[[#This Row],[DEAL SIZE]]*Dashboard!$B$7,Won[[#This Row],[SALES CHANNEL]]="AD-HOC",Won[[#This Row],[DEAL SIZE]]*Dashboard!$B$8,Won[[#This Row],[SALES CHANNEL]]="NEW BUSINESS",Won[[#This Row],[DEAL SIZE]]*Dashboard!$B$9)</f>
        <v>474.49</v>
      </c>
    </row>
    <row r="112" spans="1:11" x14ac:dyDescent="0.3">
      <c r="A112" t="str">
        <f>IF($C112="","",Dashboard!$B$3)</f>
        <v>Kelly</v>
      </c>
      <c r="B112" t="str">
        <f t="shared" si="1"/>
        <v>JUNE</v>
      </c>
      <c r="C112" t="s">
        <v>135</v>
      </c>
      <c r="D112" s="6">
        <v>18232.099999999999</v>
      </c>
      <c r="H112" t="s">
        <v>36</v>
      </c>
      <c r="I112" s="5">
        <v>45078</v>
      </c>
      <c r="K112" s="6" cm="1">
        <f t="array" ref="K112">_xlfn.IFS(Won[[#This Row],[SALES CHANNEL]]="RENEWAL",Won[[#This Row],[DEAL SIZE]]*Dashboard!$B$7,Won[[#This Row],[SALES CHANNEL]]="AD-HOC",Won[[#This Row],[DEAL SIZE]]*Dashboard!$B$8,Won[[#This Row],[SALES CHANNEL]]="NEW BUSINESS",Won[[#This Row],[DEAL SIZE]]*Dashboard!$B$9)</f>
        <v>3646.42</v>
      </c>
    </row>
    <row r="113" spans="1:11" x14ac:dyDescent="0.3">
      <c r="A113" t="str">
        <f>IF($C113="","",Dashboard!$B$3)</f>
        <v>Kelly</v>
      </c>
      <c r="B113" t="str">
        <f t="shared" si="1"/>
        <v>JUNE</v>
      </c>
      <c r="C113" t="s">
        <v>136</v>
      </c>
      <c r="D113" s="6">
        <v>6990.8499999999995</v>
      </c>
      <c r="H113" t="s">
        <v>36</v>
      </c>
      <c r="I113" s="5">
        <v>45078</v>
      </c>
      <c r="K113" s="6" cm="1">
        <f t="array" ref="K113">_xlfn.IFS(Won[[#This Row],[SALES CHANNEL]]="RENEWAL",Won[[#This Row],[DEAL SIZE]]*Dashboard!$B$7,Won[[#This Row],[SALES CHANNEL]]="AD-HOC",Won[[#This Row],[DEAL SIZE]]*Dashboard!$B$8,Won[[#This Row],[SALES CHANNEL]]="NEW BUSINESS",Won[[#This Row],[DEAL SIZE]]*Dashboard!$B$9)</f>
        <v>1398.17</v>
      </c>
    </row>
    <row r="114" spans="1:11" x14ac:dyDescent="0.3">
      <c r="A114" t="str">
        <f>IF($C114="","",Dashboard!$B$3)</f>
        <v>Kelly</v>
      </c>
      <c r="B114" t="str">
        <f t="shared" si="1"/>
        <v>JUNE</v>
      </c>
      <c r="C114" t="s">
        <v>137</v>
      </c>
      <c r="D114" s="6">
        <v>17151.099999999999</v>
      </c>
      <c r="H114" t="s">
        <v>36</v>
      </c>
      <c r="I114" s="5">
        <v>45078</v>
      </c>
      <c r="K114" s="6" cm="1">
        <f t="array" ref="K114">_xlfn.IFS(Won[[#This Row],[SALES CHANNEL]]="RENEWAL",Won[[#This Row],[DEAL SIZE]]*Dashboard!$B$7,Won[[#This Row],[SALES CHANNEL]]="AD-HOC",Won[[#This Row],[DEAL SIZE]]*Dashboard!$B$8,Won[[#This Row],[SALES CHANNEL]]="NEW BUSINESS",Won[[#This Row],[DEAL SIZE]]*Dashboard!$B$9)</f>
        <v>3430.22</v>
      </c>
    </row>
    <row r="115" spans="1:11" x14ac:dyDescent="0.3">
      <c r="A115" t="str">
        <f>IF($C115="","",Dashboard!$B$3)</f>
        <v>Kelly</v>
      </c>
      <c r="B115" t="str">
        <f t="shared" si="1"/>
        <v>JUNE</v>
      </c>
      <c r="C115" t="s">
        <v>138</v>
      </c>
      <c r="D115" s="6">
        <v>11642.599999999999</v>
      </c>
      <c r="H115" t="s">
        <v>14</v>
      </c>
      <c r="I115" s="5">
        <v>45078</v>
      </c>
      <c r="K115" s="6" cm="1">
        <f t="array" ref="K115">_xlfn.IFS(Won[[#This Row],[SALES CHANNEL]]="RENEWAL",Won[[#This Row],[DEAL SIZE]]*Dashboard!$B$7,Won[[#This Row],[SALES CHANNEL]]="AD-HOC",Won[[#This Row],[DEAL SIZE]]*Dashboard!$B$8,Won[[#This Row],[SALES CHANNEL]]="NEW BUSINESS",Won[[#This Row],[DEAL SIZE]]*Dashboard!$B$9)</f>
        <v>1164.26</v>
      </c>
    </row>
    <row r="116" spans="1:11" x14ac:dyDescent="0.3">
      <c r="A116" t="str">
        <f>IF($C116="","",Dashboard!$B$3)</f>
        <v>Kelly</v>
      </c>
      <c r="B116" t="str">
        <f t="shared" si="1"/>
        <v>JUNE</v>
      </c>
      <c r="C116" t="s">
        <v>139</v>
      </c>
      <c r="D116" s="6">
        <v>10984.8</v>
      </c>
      <c r="H116" t="s">
        <v>14</v>
      </c>
      <c r="I116" s="5">
        <v>45079</v>
      </c>
      <c r="K116" s="6" cm="1">
        <f t="array" ref="K116">_xlfn.IFS(Won[[#This Row],[SALES CHANNEL]]="RENEWAL",Won[[#This Row],[DEAL SIZE]]*Dashboard!$B$7,Won[[#This Row],[SALES CHANNEL]]="AD-HOC",Won[[#This Row],[DEAL SIZE]]*Dashboard!$B$8,Won[[#This Row],[SALES CHANNEL]]="NEW BUSINESS",Won[[#This Row],[DEAL SIZE]]*Dashboard!$B$9)</f>
        <v>1098.48</v>
      </c>
    </row>
    <row r="117" spans="1:11" x14ac:dyDescent="0.3">
      <c r="A117" t="str">
        <f>IF($C117="","",Dashboard!$B$3)</f>
        <v>Kelly</v>
      </c>
      <c r="B117" t="str">
        <f t="shared" si="1"/>
        <v>JUNE</v>
      </c>
      <c r="C117" t="s">
        <v>140</v>
      </c>
      <c r="D117" s="6">
        <v>18918.649999999998</v>
      </c>
      <c r="H117" t="s">
        <v>28</v>
      </c>
      <c r="I117" s="5">
        <v>45080</v>
      </c>
      <c r="K117" s="6" cm="1">
        <f t="array" ref="K117">_xlfn.IFS(Won[[#This Row],[SALES CHANNEL]]="RENEWAL",Won[[#This Row],[DEAL SIZE]]*Dashboard!$B$7,Won[[#This Row],[SALES CHANNEL]]="AD-HOC",Won[[#This Row],[DEAL SIZE]]*Dashboard!$B$8,Won[[#This Row],[SALES CHANNEL]]="NEW BUSINESS",Won[[#This Row],[DEAL SIZE]]*Dashboard!$B$9)</f>
        <v>945.93249999999989</v>
      </c>
    </row>
    <row r="118" spans="1:11" x14ac:dyDescent="0.3">
      <c r="A118" t="str">
        <f>IF($C118="","",Dashboard!$B$3)</f>
        <v>Kelly</v>
      </c>
      <c r="B118" t="str">
        <f t="shared" si="1"/>
        <v>JUNE</v>
      </c>
      <c r="C118" t="s">
        <v>141</v>
      </c>
      <c r="D118" s="6">
        <v>8984.9499999999989</v>
      </c>
      <c r="H118" t="s">
        <v>14</v>
      </c>
      <c r="I118" s="5">
        <v>45082</v>
      </c>
      <c r="K118" s="6" cm="1">
        <f t="array" ref="K118">_xlfn.IFS(Won[[#This Row],[SALES CHANNEL]]="RENEWAL",Won[[#This Row],[DEAL SIZE]]*Dashboard!$B$7,Won[[#This Row],[SALES CHANNEL]]="AD-HOC",Won[[#This Row],[DEAL SIZE]]*Dashboard!$B$8,Won[[#This Row],[SALES CHANNEL]]="NEW BUSINESS",Won[[#This Row],[DEAL SIZE]]*Dashboard!$B$9)</f>
        <v>898.49499999999989</v>
      </c>
    </row>
    <row r="119" spans="1:11" x14ac:dyDescent="0.3">
      <c r="A119" t="str">
        <f>IF($C119="","",Dashboard!$B$3)</f>
        <v>Kelly</v>
      </c>
      <c r="B119" t="str">
        <f t="shared" si="1"/>
        <v>JUNE</v>
      </c>
      <c r="C119" t="s">
        <v>142</v>
      </c>
      <c r="D119" s="6">
        <v>12836.3</v>
      </c>
      <c r="H119" t="s">
        <v>36</v>
      </c>
      <c r="I119" s="5">
        <v>45085</v>
      </c>
      <c r="K119" s="6" cm="1">
        <f t="array" ref="K119">_xlfn.IFS(Won[[#This Row],[SALES CHANNEL]]="RENEWAL",Won[[#This Row],[DEAL SIZE]]*Dashboard!$B$7,Won[[#This Row],[SALES CHANNEL]]="AD-HOC",Won[[#This Row],[DEAL SIZE]]*Dashboard!$B$8,Won[[#This Row],[SALES CHANNEL]]="NEW BUSINESS",Won[[#This Row],[DEAL SIZE]]*Dashboard!$B$9)</f>
        <v>2567.2600000000002</v>
      </c>
    </row>
    <row r="120" spans="1:11" x14ac:dyDescent="0.3">
      <c r="A120" t="str">
        <f>IF($C120="","",Dashboard!$B$3)</f>
        <v>Kelly</v>
      </c>
      <c r="B120" t="str">
        <f t="shared" si="1"/>
        <v>JUNE</v>
      </c>
      <c r="C120" t="s">
        <v>69</v>
      </c>
      <c r="D120" s="6">
        <v>11766.8</v>
      </c>
      <c r="H120" t="s">
        <v>14</v>
      </c>
      <c r="I120" s="5">
        <v>45086</v>
      </c>
      <c r="K120" s="6" cm="1">
        <f t="array" ref="K120">_xlfn.IFS(Won[[#This Row],[SALES CHANNEL]]="RENEWAL",Won[[#This Row],[DEAL SIZE]]*Dashboard!$B$7,Won[[#This Row],[SALES CHANNEL]]="AD-HOC",Won[[#This Row],[DEAL SIZE]]*Dashboard!$B$8,Won[[#This Row],[SALES CHANNEL]]="NEW BUSINESS",Won[[#This Row],[DEAL SIZE]]*Dashboard!$B$9)</f>
        <v>1176.68</v>
      </c>
    </row>
    <row r="121" spans="1:11" x14ac:dyDescent="0.3">
      <c r="A121" t="str">
        <f>IF($C121="","",Dashboard!$B$3)</f>
        <v>Kelly</v>
      </c>
      <c r="B121" t="str">
        <f t="shared" si="1"/>
        <v>JUNE</v>
      </c>
      <c r="C121" t="s">
        <v>143</v>
      </c>
      <c r="D121" s="6">
        <v>11665.599999999999</v>
      </c>
      <c r="H121" t="s">
        <v>28</v>
      </c>
      <c r="I121" s="5">
        <v>45087</v>
      </c>
      <c r="K121" s="6" cm="1">
        <f t="array" ref="K121">_xlfn.IFS(Won[[#This Row],[SALES CHANNEL]]="RENEWAL",Won[[#This Row],[DEAL SIZE]]*Dashboard!$B$7,Won[[#This Row],[SALES CHANNEL]]="AD-HOC",Won[[#This Row],[DEAL SIZE]]*Dashboard!$B$8,Won[[#This Row],[SALES CHANNEL]]="NEW BUSINESS",Won[[#This Row],[DEAL SIZE]]*Dashboard!$B$9)</f>
        <v>583.28</v>
      </c>
    </row>
    <row r="122" spans="1:11" x14ac:dyDescent="0.3">
      <c r="A122" t="str">
        <f>IF($C122="","",Dashboard!$B$3)</f>
        <v>Kelly</v>
      </c>
      <c r="B122" t="str">
        <f t="shared" si="1"/>
        <v>JUNE</v>
      </c>
      <c r="C122" t="s">
        <v>144</v>
      </c>
      <c r="D122" s="6">
        <v>14857.999999999998</v>
      </c>
      <c r="H122" t="s">
        <v>28</v>
      </c>
      <c r="I122" s="5">
        <v>45088</v>
      </c>
      <c r="K122" s="6" cm="1">
        <f t="array" ref="K122">_xlfn.IFS(Won[[#This Row],[SALES CHANNEL]]="RENEWAL",Won[[#This Row],[DEAL SIZE]]*Dashboard!$B$7,Won[[#This Row],[SALES CHANNEL]]="AD-HOC",Won[[#This Row],[DEAL SIZE]]*Dashboard!$B$8,Won[[#This Row],[SALES CHANNEL]]="NEW BUSINESS",Won[[#This Row],[DEAL SIZE]]*Dashboard!$B$9)</f>
        <v>742.9</v>
      </c>
    </row>
    <row r="123" spans="1:11" x14ac:dyDescent="0.3">
      <c r="A123" t="str">
        <f>IF($C123="","",Dashboard!$B$3)</f>
        <v>Kelly</v>
      </c>
      <c r="B123" t="str">
        <f t="shared" si="1"/>
        <v>JUNE</v>
      </c>
      <c r="C123" t="s">
        <v>145</v>
      </c>
      <c r="D123" s="6">
        <v>13016.849999999999</v>
      </c>
      <c r="H123" t="s">
        <v>36</v>
      </c>
      <c r="I123" s="5">
        <v>45089</v>
      </c>
      <c r="K123" s="6" cm="1">
        <f t="array" ref="K123">_xlfn.IFS(Won[[#This Row],[SALES CHANNEL]]="RENEWAL",Won[[#This Row],[DEAL SIZE]]*Dashboard!$B$7,Won[[#This Row],[SALES CHANNEL]]="AD-HOC",Won[[#This Row],[DEAL SIZE]]*Dashboard!$B$8,Won[[#This Row],[SALES CHANNEL]]="NEW BUSINESS",Won[[#This Row],[DEAL SIZE]]*Dashboard!$B$9)</f>
        <v>2603.37</v>
      </c>
    </row>
    <row r="124" spans="1:11" x14ac:dyDescent="0.3">
      <c r="A124" t="str">
        <f>IF($C124="","",Dashboard!$B$3)</f>
        <v>Kelly</v>
      </c>
      <c r="B124" t="str">
        <f t="shared" si="1"/>
        <v>JUNE</v>
      </c>
      <c r="C124" t="s">
        <v>146</v>
      </c>
      <c r="D124" s="6">
        <v>20061.75</v>
      </c>
      <c r="H124" t="s">
        <v>28</v>
      </c>
      <c r="I124" s="5">
        <v>45089</v>
      </c>
      <c r="K124" s="6" cm="1">
        <f t="array" ref="K124">_xlfn.IFS(Won[[#This Row],[SALES CHANNEL]]="RENEWAL",Won[[#This Row],[DEAL SIZE]]*Dashboard!$B$7,Won[[#This Row],[SALES CHANNEL]]="AD-HOC",Won[[#This Row],[DEAL SIZE]]*Dashboard!$B$8,Won[[#This Row],[SALES CHANNEL]]="NEW BUSINESS",Won[[#This Row],[DEAL SIZE]]*Dashboard!$B$9)</f>
        <v>1003.0875000000001</v>
      </c>
    </row>
    <row r="125" spans="1:11" x14ac:dyDescent="0.3">
      <c r="A125" t="str">
        <f>IF($C125="","",Dashboard!$B$3)</f>
        <v>Kelly</v>
      </c>
      <c r="B125" t="str">
        <f t="shared" si="1"/>
        <v>JUNE</v>
      </c>
      <c r="C125" t="s">
        <v>147</v>
      </c>
      <c r="D125" s="6">
        <v>6030.5999999999995</v>
      </c>
      <c r="H125" t="s">
        <v>36</v>
      </c>
      <c r="I125" s="5">
        <v>45092</v>
      </c>
      <c r="K125" s="6" cm="1">
        <f t="array" ref="K125">_xlfn.IFS(Won[[#This Row],[SALES CHANNEL]]="RENEWAL",Won[[#This Row],[DEAL SIZE]]*Dashboard!$B$7,Won[[#This Row],[SALES CHANNEL]]="AD-HOC",Won[[#This Row],[DEAL SIZE]]*Dashboard!$B$8,Won[[#This Row],[SALES CHANNEL]]="NEW BUSINESS",Won[[#This Row],[DEAL SIZE]]*Dashboard!$B$9)</f>
        <v>1206.1199999999999</v>
      </c>
    </row>
    <row r="126" spans="1:11" x14ac:dyDescent="0.3">
      <c r="A126" t="str">
        <f>IF($C126="","",Dashboard!$B$3)</f>
        <v>Kelly</v>
      </c>
      <c r="B126" t="str">
        <f t="shared" si="1"/>
        <v>JUNE</v>
      </c>
      <c r="C126" t="s">
        <v>148</v>
      </c>
      <c r="D126" s="6">
        <v>12711.24</v>
      </c>
      <c r="H126" t="s">
        <v>36</v>
      </c>
      <c r="I126" s="5">
        <v>45092</v>
      </c>
      <c r="K126" s="6" cm="1">
        <f t="array" ref="K126">_xlfn.IFS(Won[[#This Row],[SALES CHANNEL]]="RENEWAL",Won[[#This Row],[DEAL SIZE]]*Dashboard!$B$7,Won[[#This Row],[SALES CHANNEL]]="AD-HOC",Won[[#This Row],[DEAL SIZE]]*Dashboard!$B$8,Won[[#This Row],[SALES CHANNEL]]="NEW BUSINESS",Won[[#This Row],[DEAL SIZE]]*Dashboard!$B$9)</f>
        <v>2542.248</v>
      </c>
    </row>
    <row r="127" spans="1:11" x14ac:dyDescent="0.3">
      <c r="A127" t="str">
        <f>IF($C127="","",Dashboard!$B$3)</f>
        <v>Kelly</v>
      </c>
      <c r="B127" t="str">
        <f t="shared" si="1"/>
        <v>JUNE</v>
      </c>
      <c r="C127" t="s">
        <v>93</v>
      </c>
      <c r="D127" s="6">
        <v>14741.5075</v>
      </c>
      <c r="H127" t="s">
        <v>14</v>
      </c>
      <c r="I127" s="5">
        <v>45095</v>
      </c>
      <c r="K127" s="6" cm="1">
        <f t="array" ref="K127">_xlfn.IFS(Won[[#This Row],[SALES CHANNEL]]="RENEWAL",Won[[#This Row],[DEAL SIZE]]*Dashboard!$B$7,Won[[#This Row],[SALES CHANNEL]]="AD-HOC",Won[[#This Row],[DEAL SIZE]]*Dashboard!$B$8,Won[[#This Row],[SALES CHANNEL]]="NEW BUSINESS",Won[[#This Row],[DEAL SIZE]]*Dashboard!$B$9)</f>
        <v>1474.15075</v>
      </c>
    </row>
    <row r="128" spans="1:11" x14ac:dyDescent="0.3">
      <c r="A128" t="str">
        <f>IF($C128="","",Dashboard!$B$3)</f>
        <v>Kelly</v>
      </c>
      <c r="B128" t="str">
        <f t="shared" si="1"/>
        <v>JUNE</v>
      </c>
      <c r="C128" t="s">
        <v>149</v>
      </c>
      <c r="D128" s="6">
        <v>19427.855</v>
      </c>
      <c r="H128" t="s">
        <v>36</v>
      </c>
      <c r="I128" s="5">
        <v>45095</v>
      </c>
      <c r="K128" s="6" cm="1">
        <f t="array" ref="K128">_xlfn.IFS(Won[[#This Row],[SALES CHANNEL]]="RENEWAL",Won[[#This Row],[DEAL SIZE]]*Dashboard!$B$7,Won[[#This Row],[SALES CHANNEL]]="AD-HOC",Won[[#This Row],[DEAL SIZE]]*Dashboard!$B$8,Won[[#This Row],[SALES CHANNEL]]="NEW BUSINESS",Won[[#This Row],[DEAL SIZE]]*Dashboard!$B$9)</f>
        <v>3885.5709999999999</v>
      </c>
    </row>
    <row r="129" spans="1:11" x14ac:dyDescent="0.3">
      <c r="A129" t="str">
        <f>IF($C129="","",Dashboard!$B$3)</f>
        <v>Kelly</v>
      </c>
      <c r="B129" t="str">
        <f t="shared" si="1"/>
        <v>JUNE</v>
      </c>
      <c r="C129" t="s">
        <v>150</v>
      </c>
      <c r="D129" s="6">
        <v>21803.307499999999</v>
      </c>
      <c r="H129" t="s">
        <v>28</v>
      </c>
      <c r="I129" s="5">
        <v>45095</v>
      </c>
      <c r="K129" s="6" cm="1">
        <f t="array" ref="K129">_xlfn.IFS(Won[[#This Row],[SALES CHANNEL]]="RENEWAL",Won[[#This Row],[DEAL SIZE]]*Dashboard!$B$7,Won[[#This Row],[SALES CHANNEL]]="AD-HOC",Won[[#This Row],[DEAL SIZE]]*Dashboard!$B$8,Won[[#This Row],[SALES CHANNEL]]="NEW BUSINESS",Won[[#This Row],[DEAL SIZE]]*Dashboard!$B$9)</f>
        <v>1090.165375</v>
      </c>
    </row>
    <row r="130" spans="1:11" x14ac:dyDescent="0.3">
      <c r="A130" t="str">
        <f>IF($C130="","",Dashboard!$B$3)</f>
        <v>Kelly</v>
      </c>
      <c r="B130" t="str">
        <f t="shared" si="1"/>
        <v>JANUARY</v>
      </c>
      <c r="C130" t="s">
        <v>12</v>
      </c>
      <c r="D130" s="6">
        <v>14965</v>
      </c>
      <c r="E130" t="s">
        <v>13</v>
      </c>
      <c r="F130" s="7">
        <v>1</v>
      </c>
      <c r="G130" s="6">
        <v>14965</v>
      </c>
      <c r="H130" t="s">
        <v>14</v>
      </c>
      <c r="I130" s="5">
        <v>44927</v>
      </c>
      <c r="J130" s="1" t="s">
        <v>15</v>
      </c>
      <c r="K130" s="6" cm="1">
        <f t="array" ref="K130">_xlfn.IFS(Won[[#This Row],[SALES CHANNEL]]="RENEWAL",Won[[#This Row],[DEAL SIZE]]*Dashboard!$B$7,Won[[#This Row],[SALES CHANNEL]]="AD-HOC",Won[[#This Row],[DEAL SIZE]]*Dashboard!$B$8,Won[[#This Row],[SALES CHANNEL]]="NEW BUSINESS",Won[[#This Row],[DEAL SIZE]]*Dashboard!$B$9)</f>
        <v>1496.5</v>
      </c>
    </row>
    <row r="131" spans="1:11" x14ac:dyDescent="0.3">
      <c r="A131" t="str">
        <f>IF($C131="","",Dashboard!$B$3)</f>
        <v>Kelly</v>
      </c>
      <c r="B131" t="str">
        <f t="shared" si="1"/>
        <v>JANUARY</v>
      </c>
      <c r="C131" t="s">
        <v>16</v>
      </c>
      <c r="D131" s="6">
        <v>16549</v>
      </c>
      <c r="E131" t="s">
        <v>13</v>
      </c>
      <c r="F131" s="7">
        <v>1</v>
      </c>
      <c r="G131" s="6">
        <v>16549</v>
      </c>
      <c r="H131" t="s">
        <v>36</v>
      </c>
      <c r="I131" s="5">
        <v>44927</v>
      </c>
      <c r="J131" s="1" t="s">
        <v>17</v>
      </c>
      <c r="K131" s="6" cm="1">
        <f t="array" ref="K131">_xlfn.IFS(Won[[#This Row],[SALES CHANNEL]]="RENEWAL",Won[[#This Row],[DEAL SIZE]]*Dashboard!$B$7,Won[[#This Row],[SALES CHANNEL]]="AD-HOC",Won[[#This Row],[DEAL SIZE]]*Dashboard!$B$8,Won[[#This Row],[SALES CHANNEL]]="NEW BUSINESS",Won[[#This Row],[DEAL SIZE]]*Dashboard!$B$9)</f>
        <v>3309.8</v>
      </c>
    </row>
    <row r="132" spans="1:11" x14ac:dyDescent="0.3">
      <c r="A132" t="str">
        <f>IF($C132="","",Dashboard!$B$3)</f>
        <v>Kelly</v>
      </c>
      <c r="B132" t="str">
        <f t="shared" si="1"/>
        <v>JANUARY</v>
      </c>
      <c r="C132" t="s">
        <v>18</v>
      </c>
      <c r="D132" s="6">
        <v>12285</v>
      </c>
      <c r="E132" t="s">
        <v>13</v>
      </c>
      <c r="F132" s="7">
        <v>1</v>
      </c>
      <c r="G132" s="6">
        <v>12285</v>
      </c>
      <c r="H132" t="s">
        <v>14</v>
      </c>
      <c r="I132" s="5">
        <v>44927</v>
      </c>
      <c r="K132" s="6" cm="1">
        <f t="array" ref="K132">_xlfn.IFS(Won[[#This Row],[SALES CHANNEL]]="RENEWAL",Won[[#This Row],[DEAL SIZE]]*Dashboard!$B$7,Won[[#This Row],[SALES CHANNEL]]="AD-HOC",Won[[#This Row],[DEAL SIZE]]*Dashboard!$B$8,Won[[#This Row],[SALES CHANNEL]]="NEW BUSINESS",Won[[#This Row],[DEAL SIZE]]*Dashboard!$B$9)</f>
        <v>1228.5</v>
      </c>
    </row>
    <row r="133" spans="1:11" x14ac:dyDescent="0.3">
      <c r="A133" t="str">
        <f>IF($C133="","",Dashboard!$B$3)</f>
        <v>Kelly</v>
      </c>
      <c r="B133" t="str">
        <f t="shared" ref="B133:B196" si="2">IF($I133="","",UPPER(TEXT($I133,"mmmm")))</f>
        <v>JANUARY</v>
      </c>
      <c r="C133" t="s">
        <v>19</v>
      </c>
      <c r="D133" s="6">
        <v>10768</v>
      </c>
      <c r="E133" t="s">
        <v>13</v>
      </c>
      <c r="F133" s="7">
        <v>1</v>
      </c>
      <c r="G133" s="6">
        <v>10768</v>
      </c>
      <c r="H133" t="s">
        <v>14</v>
      </c>
      <c r="I133" s="5">
        <v>44927</v>
      </c>
      <c r="K133" s="6" cm="1">
        <f t="array" ref="K133">_xlfn.IFS(Won[[#This Row],[SALES CHANNEL]]="RENEWAL",Won[[#This Row],[DEAL SIZE]]*Dashboard!$B$7,Won[[#This Row],[SALES CHANNEL]]="AD-HOC",Won[[#This Row],[DEAL SIZE]]*Dashboard!$B$8,Won[[#This Row],[SALES CHANNEL]]="NEW BUSINESS",Won[[#This Row],[DEAL SIZE]]*Dashboard!$B$9)</f>
        <v>1076.8</v>
      </c>
    </row>
    <row r="134" spans="1:11" x14ac:dyDescent="0.3">
      <c r="A134" t="str">
        <f>IF($C134="","",Dashboard!$B$3)</f>
        <v>Kelly</v>
      </c>
      <c r="B134" t="str">
        <f t="shared" si="2"/>
        <v>JANUARY</v>
      </c>
      <c r="C134" t="s">
        <v>27</v>
      </c>
      <c r="D134" s="6">
        <v>15344</v>
      </c>
      <c r="E134" t="s">
        <v>13</v>
      </c>
      <c r="F134" s="7">
        <v>1</v>
      </c>
      <c r="G134" s="6">
        <v>15344</v>
      </c>
      <c r="H134" t="s">
        <v>28</v>
      </c>
      <c r="I134" s="5">
        <v>44927</v>
      </c>
      <c r="K134" s="6" cm="1">
        <f t="array" ref="K134">_xlfn.IFS(Won[[#This Row],[SALES CHANNEL]]="RENEWAL",Won[[#This Row],[DEAL SIZE]]*Dashboard!$B$7,Won[[#This Row],[SALES CHANNEL]]="AD-HOC",Won[[#This Row],[DEAL SIZE]]*Dashboard!$B$8,Won[[#This Row],[SALES CHANNEL]]="NEW BUSINESS",Won[[#This Row],[DEAL SIZE]]*Dashboard!$B$9)</f>
        <v>767.2</v>
      </c>
    </row>
    <row r="135" spans="1:11" x14ac:dyDescent="0.3">
      <c r="A135" t="str">
        <f>IF($C135="","",Dashboard!$B$3)</f>
        <v>Kelly</v>
      </c>
      <c r="B135" t="str">
        <f t="shared" si="2"/>
        <v>JANUARY</v>
      </c>
      <c r="C135" t="s">
        <v>33</v>
      </c>
      <c r="D135" s="6">
        <v>18892</v>
      </c>
      <c r="E135" t="s">
        <v>13</v>
      </c>
      <c r="F135" s="7">
        <v>1</v>
      </c>
      <c r="G135" s="6">
        <v>18892</v>
      </c>
      <c r="H135" t="s">
        <v>14</v>
      </c>
      <c r="I135" s="5">
        <v>44935</v>
      </c>
      <c r="K135" s="6" cm="1">
        <f t="array" ref="K135">_xlfn.IFS(Won[[#This Row],[SALES CHANNEL]]="RENEWAL",Won[[#This Row],[DEAL SIZE]]*Dashboard!$B$7,Won[[#This Row],[SALES CHANNEL]]="AD-HOC",Won[[#This Row],[DEAL SIZE]]*Dashboard!$B$8,Won[[#This Row],[SALES CHANNEL]]="NEW BUSINESS",Won[[#This Row],[DEAL SIZE]]*Dashboard!$B$9)</f>
        <v>1889.2</v>
      </c>
    </row>
    <row r="136" spans="1:11" x14ac:dyDescent="0.3">
      <c r="A136" t="str">
        <f>IF($C136="","",Dashboard!$B$3)</f>
        <v>Kelly</v>
      </c>
      <c r="B136" t="str">
        <f t="shared" si="2"/>
        <v>JANUARY</v>
      </c>
      <c r="C136" t="s">
        <v>34</v>
      </c>
      <c r="D136" s="6">
        <v>16198</v>
      </c>
      <c r="E136" t="s">
        <v>13</v>
      </c>
      <c r="F136" s="7">
        <v>1</v>
      </c>
      <c r="G136" s="6">
        <v>16198</v>
      </c>
      <c r="H136" t="s">
        <v>14</v>
      </c>
      <c r="I136" s="5">
        <v>44938</v>
      </c>
      <c r="K136" s="6" cm="1">
        <f t="array" ref="K136">_xlfn.IFS(Won[[#This Row],[SALES CHANNEL]]="RENEWAL",Won[[#This Row],[DEAL SIZE]]*Dashboard!$B$7,Won[[#This Row],[SALES CHANNEL]]="AD-HOC",Won[[#This Row],[DEAL SIZE]]*Dashboard!$B$8,Won[[#This Row],[SALES CHANNEL]]="NEW BUSINESS",Won[[#This Row],[DEAL SIZE]]*Dashboard!$B$9)</f>
        <v>1619.8000000000002</v>
      </c>
    </row>
    <row r="137" spans="1:11" x14ac:dyDescent="0.3">
      <c r="A137" t="str">
        <f>IF($C137="","",Dashboard!$B$3)</f>
        <v>Kelly</v>
      </c>
      <c r="B137" t="str">
        <f t="shared" si="2"/>
        <v>JANUARY</v>
      </c>
      <c r="C137" t="s">
        <v>35</v>
      </c>
      <c r="D137" s="6">
        <v>9556</v>
      </c>
      <c r="E137" t="s">
        <v>13</v>
      </c>
      <c r="F137" s="7">
        <v>1</v>
      </c>
      <c r="G137" s="6">
        <v>9556</v>
      </c>
      <c r="H137" t="s">
        <v>36</v>
      </c>
      <c r="I137" s="5">
        <v>44938</v>
      </c>
      <c r="K137" s="6" cm="1">
        <f t="array" ref="K137">_xlfn.IFS(Won[[#This Row],[SALES CHANNEL]]="RENEWAL",Won[[#This Row],[DEAL SIZE]]*Dashboard!$B$7,Won[[#This Row],[SALES CHANNEL]]="AD-HOC",Won[[#This Row],[DEAL SIZE]]*Dashboard!$B$8,Won[[#This Row],[SALES CHANNEL]]="NEW BUSINESS",Won[[#This Row],[DEAL SIZE]]*Dashboard!$B$9)</f>
        <v>1911.2</v>
      </c>
    </row>
    <row r="138" spans="1:11" x14ac:dyDescent="0.3">
      <c r="A138" t="str">
        <f>IF($C138="","",Dashboard!$B$3)</f>
        <v>Kelly</v>
      </c>
      <c r="B138" t="str">
        <f t="shared" si="2"/>
        <v>JANUARY</v>
      </c>
      <c r="C138" t="s">
        <v>38</v>
      </c>
      <c r="D138" s="6">
        <v>5388</v>
      </c>
      <c r="E138" t="s">
        <v>13</v>
      </c>
      <c r="F138" s="7">
        <v>1</v>
      </c>
      <c r="G138" s="6">
        <v>5388</v>
      </c>
      <c r="H138" t="s">
        <v>14</v>
      </c>
      <c r="I138" s="5">
        <v>44941</v>
      </c>
      <c r="K138" s="6" cm="1">
        <f t="array" ref="K138">_xlfn.IFS(Won[[#This Row],[SALES CHANNEL]]="RENEWAL",Won[[#This Row],[DEAL SIZE]]*Dashboard!$B$7,Won[[#This Row],[SALES CHANNEL]]="AD-HOC",Won[[#This Row],[DEAL SIZE]]*Dashboard!$B$8,Won[[#This Row],[SALES CHANNEL]]="NEW BUSINESS",Won[[#This Row],[DEAL SIZE]]*Dashboard!$B$9)</f>
        <v>538.80000000000007</v>
      </c>
    </row>
    <row r="139" spans="1:11" x14ac:dyDescent="0.3">
      <c r="A139" t="str">
        <f>IF($C139="","",Dashboard!$B$3)</f>
        <v>Kelly</v>
      </c>
      <c r="B139" t="str">
        <f t="shared" si="2"/>
        <v>JANUARY</v>
      </c>
      <c r="C139" t="s">
        <v>43</v>
      </c>
      <c r="D139" s="6">
        <v>16225</v>
      </c>
      <c r="E139" t="s">
        <v>13</v>
      </c>
      <c r="F139" s="7">
        <v>1</v>
      </c>
      <c r="G139" s="6">
        <v>16225</v>
      </c>
      <c r="H139" t="s">
        <v>28</v>
      </c>
      <c r="I139" s="5">
        <v>44941</v>
      </c>
      <c r="K139" s="6" cm="1">
        <f t="array" ref="K139">_xlfn.IFS(Won[[#This Row],[SALES CHANNEL]]="RENEWAL",Won[[#This Row],[DEAL SIZE]]*Dashboard!$B$7,Won[[#This Row],[SALES CHANNEL]]="AD-HOC",Won[[#This Row],[DEAL SIZE]]*Dashboard!$B$8,Won[[#This Row],[SALES CHANNEL]]="NEW BUSINESS",Won[[#This Row],[DEAL SIZE]]*Dashboard!$B$9)</f>
        <v>811.25</v>
      </c>
    </row>
    <row r="140" spans="1:11" x14ac:dyDescent="0.3">
      <c r="A140" t="str">
        <f>IF($C140="","",Dashboard!$B$3)</f>
        <v>Kelly</v>
      </c>
      <c r="B140" t="str">
        <f t="shared" si="2"/>
        <v>JANUARY</v>
      </c>
      <c r="C140" t="s">
        <v>47</v>
      </c>
      <c r="D140" s="6">
        <v>17754</v>
      </c>
      <c r="E140" t="s">
        <v>13</v>
      </c>
      <c r="F140" s="7">
        <v>1</v>
      </c>
      <c r="G140" s="6">
        <v>17754</v>
      </c>
      <c r="H140" t="s">
        <v>28</v>
      </c>
      <c r="I140" s="5">
        <v>44949</v>
      </c>
      <c r="K140" s="6" cm="1">
        <f t="array" ref="K140">_xlfn.IFS(Won[[#This Row],[SALES CHANNEL]]="RENEWAL",Won[[#This Row],[DEAL SIZE]]*Dashboard!$B$7,Won[[#This Row],[SALES CHANNEL]]="AD-HOC",Won[[#This Row],[DEAL SIZE]]*Dashboard!$B$8,Won[[#This Row],[SALES CHANNEL]]="NEW BUSINESS",Won[[#This Row],[DEAL SIZE]]*Dashboard!$B$9)</f>
        <v>887.7</v>
      </c>
    </row>
    <row r="141" spans="1:11" x14ac:dyDescent="0.3">
      <c r="A141" t="str">
        <f>IF($C141="","",Dashboard!$B$3)</f>
        <v>Kelly</v>
      </c>
      <c r="B141" t="str">
        <f t="shared" si="2"/>
        <v>JANUARY</v>
      </c>
      <c r="C141" t="s">
        <v>54</v>
      </c>
      <c r="D141" s="6">
        <v>5726</v>
      </c>
      <c r="E141" t="s">
        <v>13</v>
      </c>
      <c r="F141" s="7">
        <v>1</v>
      </c>
      <c r="G141" s="6">
        <v>5726</v>
      </c>
      <c r="H141" t="s">
        <v>28</v>
      </c>
      <c r="I141" s="5">
        <v>44956</v>
      </c>
      <c r="K141" s="6" cm="1">
        <f t="array" ref="K141">_xlfn.IFS(Won[[#This Row],[SALES CHANNEL]]="RENEWAL",Won[[#This Row],[DEAL SIZE]]*Dashboard!$B$7,Won[[#This Row],[SALES CHANNEL]]="AD-HOC",Won[[#This Row],[DEAL SIZE]]*Dashboard!$B$8,Won[[#This Row],[SALES CHANNEL]]="NEW BUSINESS",Won[[#This Row],[DEAL SIZE]]*Dashboard!$B$9)</f>
        <v>286.3</v>
      </c>
    </row>
    <row r="142" spans="1:11" x14ac:dyDescent="0.3">
      <c r="A142" t="str">
        <f>IF($C142="","",Dashboard!$B$3)</f>
        <v>Kelly</v>
      </c>
      <c r="B142" t="str">
        <f t="shared" si="2"/>
        <v>FEBRUARY</v>
      </c>
      <c r="C142" t="s">
        <v>56</v>
      </c>
      <c r="D142" s="6">
        <v>9639</v>
      </c>
      <c r="E142" t="s">
        <v>13</v>
      </c>
      <c r="F142" s="7">
        <v>1</v>
      </c>
      <c r="G142" s="6">
        <v>9639</v>
      </c>
      <c r="H142" t="s">
        <v>14</v>
      </c>
      <c r="I142" s="5">
        <v>44958</v>
      </c>
      <c r="K142" s="6" cm="1">
        <f t="array" ref="K142">_xlfn.IFS(Won[[#This Row],[SALES CHANNEL]]="RENEWAL",Won[[#This Row],[DEAL SIZE]]*Dashboard!$B$7,Won[[#This Row],[SALES CHANNEL]]="AD-HOC",Won[[#This Row],[DEAL SIZE]]*Dashboard!$B$8,Won[[#This Row],[SALES CHANNEL]]="NEW BUSINESS",Won[[#This Row],[DEAL SIZE]]*Dashboard!$B$9)</f>
        <v>963.90000000000009</v>
      </c>
    </row>
    <row r="143" spans="1:11" x14ac:dyDescent="0.3">
      <c r="A143" t="str">
        <f>IF($C143="","",Dashboard!$B$3)</f>
        <v>Kelly</v>
      </c>
      <c r="B143" t="str">
        <f t="shared" si="2"/>
        <v>FEBRUARY</v>
      </c>
      <c r="C143" t="s">
        <v>57</v>
      </c>
      <c r="D143" s="6">
        <v>12669</v>
      </c>
      <c r="E143" t="s">
        <v>13</v>
      </c>
      <c r="F143" s="7">
        <v>1</v>
      </c>
      <c r="G143" s="6">
        <v>12669</v>
      </c>
      <c r="H143" t="s">
        <v>36</v>
      </c>
      <c r="I143" s="5">
        <v>44958</v>
      </c>
      <c r="K143" s="6" cm="1">
        <f t="array" ref="K143">_xlfn.IFS(Won[[#This Row],[SALES CHANNEL]]="RENEWAL",Won[[#This Row],[DEAL SIZE]]*Dashboard!$B$7,Won[[#This Row],[SALES CHANNEL]]="AD-HOC",Won[[#This Row],[DEAL SIZE]]*Dashboard!$B$8,Won[[#This Row],[SALES CHANNEL]]="NEW BUSINESS",Won[[#This Row],[DEAL SIZE]]*Dashboard!$B$9)</f>
        <v>2533.8000000000002</v>
      </c>
    </row>
    <row r="144" spans="1:11" x14ac:dyDescent="0.3">
      <c r="A144" t="str">
        <f>IF($C144="","",Dashboard!$B$3)</f>
        <v>Kelly</v>
      </c>
      <c r="B144" t="str">
        <f t="shared" si="2"/>
        <v>FEBRUARY</v>
      </c>
      <c r="C144" t="s">
        <v>64</v>
      </c>
      <c r="D144" s="6">
        <v>10124</v>
      </c>
      <c r="E144" t="s">
        <v>13</v>
      </c>
      <c r="F144" s="7">
        <v>1</v>
      </c>
      <c r="G144" s="6">
        <v>10124</v>
      </c>
      <c r="H144" t="s">
        <v>28</v>
      </c>
      <c r="I144" s="5">
        <v>44967</v>
      </c>
      <c r="K144" s="6" cm="1">
        <f t="array" ref="K144">_xlfn.IFS(Won[[#This Row],[SALES CHANNEL]]="RENEWAL",Won[[#This Row],[DEAL SIZE]]*Dashboard!$B$7,Won[[#This Row],[SALES CHANNEL]]="AD-HOC",Won[[#This Row],[DEAL SIZE]]*Dashboard!$B$8,Won[[#This Row],[SALES CHANNEL]]="NEW BUSINESS",Won[[#This Row],[DEAL SIZE]]*Dashboard!$B$9)</f>
        <v>506.20000000000005</v>
      </c>
    </row>
    <row r="145" spans="1:11" x14ac:dyDescent="0.3">
      <c r="A145" t="str">
        <f>IF($C145="","",Dashboard!$B$3)</f>
        <v>Kelly</v>
      </c>
      <c r="B145" t="str">
        <f t="shared" si="2"/>
        <v>FEBRUARY</v>
      </c>
      <c r="C145" t="s">
        <v>65</v>
      </c>
      <c r="D145" s="6">
        <v>9552</v>
      </c>
      <c r="E145" t="s">
        <v>13</v>
      </c>
      <c r="F145" s="7">
        <v>1</v>
      </c>
      <c r="G145" s="6">
        <v>9552</v>
      </c>
      <c r="H145" t="s">
        <v>36</v>
      </c>
      <c r="I145" s="5">
        <v>44969</v>
      </c>
      <c r="K145" s="6" cm="1">
        <f t="array" ref="K145">_xlfn.IFS(Won[[#This Row],[SALES CHANNEL]]="RENEWAL",Won[[#This Row],[DEAL SIZE]]*Dashboard!$B$7,Won[[#This Row],[SALES CHANNEL]]="AD-HOC",Won[[#This Row],[DEAL SIZE]]*Dashboard!$B$8,Won[[#This Row],[SALES CHANNEL]]="NEW BUSINESS",Won[[#This Row],[DEAL SIZE]]*Dashboard!$B$9)</f>
        <v>1910.4</v>
      </c>
    </row>
    <row r="146" spans="1:11" x14ac:dyDescent="0.3">
      <c r="A146" t="str">
        <f>IF($C146="","",Dashboard!$B$3)</f>
        <v>Kelly</v>
      </c>
      <c r="B146" t="str">
        <f t="shared" si="2"/>
        <v>FEBRUARY</v>
      </c>
      <c r="C146" t="s">
        <v>66</v>
      </c>
      <c r="D146" s="6">
        <v>16451</v>
      </c>
      <c r="E146" t="s">
        <v>13</v>
      </c>
      <c r="F146" s="7">
        <v>1</v>
      </c>
      <c r="G146" s="6">
        <v>16451</v>
      </c>
      <c r="H146" t="s">
        <v>28</v>
      </c>
      <c r="I146" s="5">
        <v>44969</v>
      </c>
      <c r="K146" s="6" cm="1">
        <f t="array" ref="K146">_xlfn.IFS(Won[[#This Row],[SALES CHANNEL]]="RENEWAL",Won[[#This Row],[DEAL SIZE]]*Dashboard!$B$7,Won[[#This Row],[SALES CHANNEL]]="AD-HOC",Won[[#This Row],[DEAL SIZE]]*Dashboard!$B$8,Won[[#This Row],[SALES CHANNEL]]="NEW BUSINESS",Won[[#This Row],[DEAL SIZE]]*Dashboard!$B$9)</f>
        <v>822.55000000000007</v>
      </c>
    </row>
    <row r="147" spans="1:11" x14ac:dyDescent="0.3">
      <c r="A147" t="str">
        <f>IF($C147="","",Dashboard!$B$3)</f>
        <v>Kelly</v>
      </c>
      <c r="B147" t="str">
        <f t="shared" si="2"/>
        <v>FEBRUARY</v>
      </c>
      <c r="C147" t="s">
        <v>75</v>
      </c>
      <c r="D147" s="6">
        <v>11189</v>
      </c>
      <c r="E147" t="s">
        <v>13</v>
      </c>
      <c r="F147" s="7">
        <v>1</v>
      </c>
      <c r="G147" s="6">
        <v>11189</v>
      </c>
      <c r="H147" t="s">
        <v>14</v>
      </c>
      <c r="I147" s="5">
        <v>44976</v>
      </c>
      <c r="K147" s="6" cm="1">
        <f t="array" ref="K147">_xlfn.IFS(Won[[#This Row],[SALES CHANNEL]]="RENEWAL",Won[[#This Row],[DEAL SIZE]]*Dashboard!$B$7,Won[[#This Row],[SALES CHANNEL]]="AD-HOC",Won[[#This Row],[DEAL SIZE]]*Dashboard!$B$8,Won[[#This Row],[SALES CHANNEL]]="NEW BUSINESS",Won[[#This Row],[DEAL SIZE]]*Dashboard!$B$9)</f>
        <v>1118.9000000000001</v>
      </c>
    </row>
    <row r="148" spans="1:11" x14ac:dyDescent="0.3">
      <c r="A148" t="str">
        <f>IF($C148="","",Dashboard!$B$3)</f>
        <v>Kelly</v>
      </c>
      <c r="B148" t="str">
        <f t="shared" si="2"/>
        <v>FEBRUARY</v>
      </c>
      <c r="C148" t="s">
        <v>79</v>
      </c>
      <c r="D148" s="6">
        <v>10768</v>
      </c>
      <c r="E148" t="s">
        <v>13</v>
      </c>
      <c r="F148" s="7">
        <v>1</v>
      </c>
      <c r="G148" s="6">
        <v>10768</v>
      </c>
      <c r="H148" t="s">
        <v>28</v>
      </c>
      <c r="I148" s="5">
        <v>44985</v>
      </c>
      <c r="K148" s="6" cm="1">
        <f t="array" ref="K148">_xlfn.IFS(Won[[#This Row],[SALES CHANNEL]]="RENEWAL",Won[[#This Row],[DEAL SIZE]]*Dashboard!$B$7,Won[[#This Row],[SALES CHANNEL]]="AD-HOC",Won[[#This Row],[DEAL SIZE]]*Dashboard!$B$8,Won[[#This Row],[SALES CHANNEL]]="NEW BUSINESS",Won[[#This Row],[DEAL SIZE]]*Dashboard!$B$9)</f>
        <v>538.4</v>
      </c>
    </row>
    <row r="149" spans="1:11" x14ac:dyDescent="0.3">
      <c r="A149" t="str">
        <f>IF($C149="","",Dashboard!$B$3)</f>
        <v>Kelly</v>
      </c>
      <c r="B149" t="str">
        <f t="shared" si="2"/>
        <v>MARCH</v>
      </c>
      <c r="C149" t="s">
        <v>81</v>
      </c>
      <c r="D149" s="6">
        <v>15822</v>
      </c>
      <c r="E149" t="s">
        <v>13</v>
      </c>
      <c r="F149" s="7">
        <v>1</v>
      </c>
      <c r="G149" s="6">
        <v>15822</v>
      </c>
      <c r="H149" t="s">
        <v>28</v>
      </c>
      <c r="I149" s="5">
        <v>44986</v>
      </c>
      <c r="K149" s="6" cm="1">
        <f t="array" ref="K149">_xlfn.IFS(Won[[#This Row],[SALES CHANNEL]]="RENEWAL",Won[[#This Row],[DEAL SIZE]]*Dashboard!$B$7,Won[[#This Row],[SALES CHANNEL]]="AD-HOC",Won[[#This Row],[DEAL SIZE]]*Dashboard!$B$8,Won[[#This Row],[SALES CHANNEL]]="NEW BUSINESS",Won[[#This Row],[DEAL SIZE]]*Dashboard!$B$9)</f>
        <v>791.1</v>
      </c>
    </row>
    <row r="150" spans="1:11" x14ac:dyDescent="0.3">
      <c r="A150" t="str">
        <f>IF($C150="","",Dashboard!$B$3)</f>
        <v>Kelly</v>
      </c>
      <c r="B150" t="str">
        <f t="shared" si="2"/>
        <v>MARCH</v>
      </c>
      <c r="C150" t="s">
        <v>87</v>
      </c>
      <c r="D150" s="6">
        <v>18892</v>
      </c>
      <c r="E150" t="s">
        <v>13</v>
      </c>
      <c r="F150" s="7">
        <v>1</v>
      </c>
      <c r="G150" s="6">
        <v>18892</v>
      </c>
      <c r="H150" t="s">
        <v>28</v>
      </c>
      <c r="I150" s="5">
        <v>44996</v>
      </c>
      <c r="K150" s="6" cm="1">
        <f t="array" ref="K150">_xlfn.IFS(Won[[#This Row],[SALES CHANNEL]]="RENEWAL",Won[[#This Row],[DEAL SIZE]]*Dashboard!$B$7,Won[[#This Row],[SALES CHANNEL]]="AD-HOC",Won[[#This Row],[DEAL SIZE]]*Dashboard!$B$8,Won[[#This Row],[SALES CHANNEL]]="NEW BUSINESS",Won[[#This Row],[DEAL SIZE]]*Dashboard!$B$9)</f>
        <v>944.6</v>
      </c>
    </row>
    <row r="151" spans="1:11" x14ac:dyDescent="0.3">
      <c r="A151" t="str">
        <f>IF($C151="","",Dashboard!$B$3)</f>
        <v>Kelly</v>
      </c>
      <c r="B151" t="str">
        <f t="shared" si="2"/>
        <v>MARCH</v>
      </c>
      <c r="C151" t="s">
        <v>88</v>
      </c>
      <c r="D151" s="6">
        <v>16198</v>
      </c>
      <c r="E151" t="s">
        <v>13</v>
      </c>
      <c r="F151" s="7">
        <v>1</v>
      </c>
      <c r="G151" s="6">
        <v>16198</v>
      </c>
      <c r="H151" t="s">
        <v>36</v>
      </c>
      <c r="I151" s="5">
        <v>45000</v>
      </c>
      <c r="K151" s="6" cm="1">
        <f t="array" ref="K151">_xlfn.IFS(Won[[#This Row],[SALES CHANNEL]]="RENEWAL",Won[[#This Row],[DEAL SIZE]]*Dashboard!$B$7,Won[[#This Row],[SALES CHANNEL]]="AD-HOC",Won[[#This Row],[DEAL SIZE]]*Dashboard!$B$8,Won[[#This Row],[SALES CHANNEL]]="NEW BUSINESS",Won[[#This Row],[DEAL SIZE]]*Dashboard!$B$9)</f>
        <v>3239.6000000000004</v>
      </c>
    </row>
    <row r="152" spans="1:11" x14ac:dyDescent="0.3">
      <c r="A152" t="str">
        <f>IF($C152="","",Dashboard!$B$3)</f>
        <v>Kelly</v>
      </c>
      <c r="B152" t="str">
        <f t="shared" si="2"/>
        <v>MARCH</v>
      </c>
      <c r="C152" t="s">
        <v>49</v>
      </c>
      <c r="D152" s="6">
        <v>12285</v>
      </c>
      <c r="E152" t="s">
        <v>13</v>
      </c>
      <c r="F152" s="7">
        <v>1</v>
      </c>
      <c r="G152" s="6">
        <v>12285</v>
      </c>
      <c r="H152" t="s">
        <v>14</v>
      </c>
      <c r="I152" s="5">
        <v>45003</v>
      </c>
      <c r="K152" s="6" cm="1">
        <f t="array" ref="K152">_xlfn.IFS(Won[[#This Row],[SALES CHANNEL]]="RENEWAL",Won[[#This Row],[DEAL SIZE]]*Dashboard!$B$7,Won[[#This Row],[SALES CHANNEL]]="AD-HOC",Won[[#This Row],[DEAL SIZE]]*Dashboard!$B$8,Won[[#This Row],[SALES CHANNEL]]="NEW BUSINESS",Won[[#This Row],[DEAL SIZE]]*Dashboard!$B$9)</f>
        <v>1228.5</v>
      </c>
    </row>
    <row r="153" spans="1:11" x14ac:dyDescent="0.3">
      <c r="A153" t="str">
        <f>IF($C153="","",Dashboard!$B$3)</f>
        <v>Kelly</v>
      </c>
      <c r="B153" t="str">
        <f t="shared" si="2"/>
        <v>MARCH</v>
      </c>
      <c r="C153" t="s">
        <v>94</v>
      </c>
      <c r="D153" s="6">
        <v>16723</v>
      </c>
      <c r="E153" t="s">
        <v>13</v>
      </c>
      <c r="F153" s="7">
        <v>1</v>
      </c>
      <c r="G153" s="6">
        <v>16723</v>
      </c>
      <c r="H153" t="s">
        <v>14</v>
      </c>
      <c r="I153" s="5">
        <v>45004</v>
      </c>
      <c r="K153" s="6" cm="1">
        <f t="array" ref="K153">_xlfn.IFS(Won[[#This Row],[SALES CHANNEL]]="RENEWAL",Won[[#This Row],[DEAL SIZE]]*Dashboard!$B$7,Won[[#This Row],[SALES CHANNEL]]="AD-HOC",Won[[#This Row],[DEAL SIZE]]*Dashboard!$B$8,Won[[#This Row],[SALES CHANNEL]]="NEW BUSINESS",Won[[#This Row],[DEAL SIZE]]*Dashboard!$B$9)</f>
        <v>1672.3000000000002</v>
      </c>
    </row>
    <row r="154" spans="1:11" x14ac:dyDescent="0.3">
      <c r="A154" t="str">
        <f>IF($C154="","",Dashboard!$B$3)</f>
        <v>Kelly</v>
      </c>
      <c r="B154" t="str">
        <f t="shared" si="2"/>
        <v>MARCH</v>
      </c>
      <c r="C154" t="s">
        <v>97</v>
      </c>
      <c r="D154" s="6">
        <v>19134</v>
      </c>
      <c r="E154" t="s">
        <v>13</v>
      </c>
      <c r="F154" s="7">
        <v>1</v>
      </c>
      <c r="G154" s="6">
        <v>19134</v>
      </c>
      <c r="H154" t="s">
        <v>36</v>
      </c>
      <c r="I154" s="5">
        <v>45008</v>
      </c>
      <c r="K154" s="6" cm="1">
        <f t="array" ref="K154">_xlfn.IFS(Won[[#This Row],[SALES CHANNEL]]="RENEWAL",Won[[#This Row],[DEAL SIZE]]*Dashboard!$B$7,Won[[#This Row],[SALES CHANNEL]]="AD-HOC",Won[[#This Row],[DEAL SIZE]]*Dashboard!$B$8,Won[[#This Row],[SALES CHANNEL]]="NEW BUSINESS",Won[[#This Row],[DEAL SIZE]]*Dashboard!$B$9)</f>
        <v>3826.8</v>
      </c>
    </row>
    <row r="155" spans="1:11" x14ac:dyDescent="0.3">
      <c r="A155" t="str">
        <f>IF($C155="","",Dashboard!$B$3)</f>
        <v>Kelly</v>
      </c>
      <c r="B155" t="str">
        <f t="shared" si="2"/>
        <v>APRIL</v>
      </c>
      <c r="C155" t="s">
        <v>101</v>
      </c>
      <c r="D155" s="6">
        <v>16198</v>
      </c>
      <c r="E155" t="s">
        <v>13</v>
      </c>
      <c r="F155" s="7">
        <v>1</v>
      </c>
      <c r="G155" s="6">
        <v>16198</v>
      </c>
      <c r="H155" t="s">
        <v>36</v>
      </c>
      <c r="I155" s="5">
        <v>45021</v>
      </c>
      <c r="K155" s="6" cm="1">
        <f t="array" ref="K155">_xlfn.IFS(Won[[#This Row],[SALES CHANNEL]]="RENEWAL",Won[[#This Row],[DEAL SIZE]]*Dashboard!$B$7,Won[[#This Row],[SALES CHANNEL]]="AD-HOC",Won[[#This Row],[DEAL SIZE]]*Dashboard!$B$8,Won[[#This Row],[SALES CHANNEL]]="NEW BUSINESS",Won[[#This Row],[DEAL SIZE]]*Dashboard!$B$9)</f>
        <v>3239.6000000000004</v>
      </c>
    </row>
    <row r="156" spans="1:11" x14ac:dyDescent="0.3">
      <c r="A156" t="str">
        <f>IF($C156="","",Dashboard!$B$3)</f>
        <v>Kelly</v>
      </c>
      <c r="B156" t="str">
        <f t="shared" si="2"/>
        <v>APRIL</v>
      </c>
      <c r="C156" t="s">
        <v>105</v>
      </c>
      <c r="D156" s="6">
        <v>12534.1</v>
      </c>
      <c r="E156" t="s">
        <v>13</v>
      </c>
      <c r="F156" s="7">
        <v>1</v>
      </c>
      <c r="G156" s="6">
        <v>12534.1</v>
      </c>
      <c r="H156" t="s">
        <v>28</v>
      </c>
      <c r="I156" s="5">
        <v>45028</v>
      </c>
      <c r="K156" s="6" cm="1">
        <f t="array" ref="K156">_xlfn.IFS(Won[[#This Row],[SALES CHANNEL]]="RENEWAL",Won[[#This Row],[DEAL SIZE]]*Dashboard!$B$7,Won[[#This Row],[SALES CHANNEL]]="AD-HOC",Won[[#This Row],[DEAL SIZE]]*Dashboard!$B$8,Won[[#This Row],[SALES CHANNEL]]="NEW BUSINESS",Won[[#This Row],[DEAL SIZE]]*Dashboard!$B$9)</f>
        <v>626.70500000000004</v>
      </c>
    </row>
    <row r="157" spans="1:11" x14ac:dyDescent="0.3">
      <c r="A157" t="str">
        <f>IF($C157="","",Dashboard!$B$3)</f>
        <v>Kelly</v>
      </c>
      <c r="B157" t="str">
        <f t="shared" si="2"/>
        <v>APRIL</v>
      </c>
      <c r="C157" t="s">
        <v>108</v>
      </c>
      <c r="D157" s="6">
        <v>9152.7999999999993</v>
      </c>
      <c r="E157" t="s">
        <v>13</v>
      </c>
      <c r="F157" s="7">
        <v>1</v>
      </c>
      <c r="G157" s="6">
        <v>9152.7999999999993</v>
      </c>
      <c r="H157" t="s">
        <v>28</v>
      </c>
      <c r="I157" s="5">
        <v>45031</v>
      </c>
      <c r="K157" s="6" cm="1">
        <f t="array" ref="K157">_xlfn.IFS(Won[[#This Row],[SALES CHANNEL]]="RENEWAL",Won[[#This Row],[DEAL SIZE]]*Dashboard!$B$7,Won[[#This Row],[SALES CHANNEL]]="AD-HOC",Won[[#This Row],[DEAL SIZE]]*Dashboard!$B$8,Won[[#This Row],[SALES CHANNEL]]="NEW BUSINESS",Won[[#This Row],[DEAL SIZE]]*Dashboard!$B$9)</f>
        <v>457.64</v>
      </c>
    </row>
    <row r="158" spans="1:11" x14ac:dyDescent="0.3">
      <c r="A158" t="str">
        <f>IF($C158="","",Dashboard!$B$3)</f>
        <v>Kelly</v>
      </c>
      <c r="B158" t="str">
        <f t="shared" si="2"/>
        <v>APRIL</v>
      </c>
      <c r="C158" t="s">
        <v>111</v>
      </c>
      <c r="D158" s="6">
        <v>14214.55</v>
      </c>
      <c r="E158" t="s">
        <v>13</v>
      </c>
      <c r="F158" s="7">
        <v>1</v>
      </c>
      <c r="G158" s="6">
        <v>14214.55</v>
      </c>
      <c r="H158" t="s">
        <v>36</v>
      </c>
      <c r="I158" s="5">
        <v>45035</v>
      </c>
      <c r="K158" s="6" cm="1">
        <f t="array" ref="K158">_xlfn.IFS(Won[[#This Row],[SALES CHANNEL]]="RENEWAL",Won[[#This Row],[DEAL SIZE]]*Dashboard!$B$7,Won[[#This Row],[SALES CHANNEL]]="AD-HOC",Won[[#This Row],[DEAL SIZE]]*Dashboard!$B$8,Won[[#This Row],[SALES CHANNEL]]="NEW BUSINESS",Won[[#This Row],[DEAL SIZE]]*Dashboard!$B$9)</f>
        <v>2842.91</v>
      </c>
    </row>
    <row r="159" spans="1:11" x14ac:dyDescent="0.3">
      <c r="A159" t="str">
        <f>IF($C159="","",Dashboard!$B$3)</f>
        <v>Kelly</v>
      </c>
      <c r="B159" t="str">
        <f t="shared" si="2"/>
        <v>APRIL</v>
      </c>
      <c r="C159" t="s">
        <v>113</v>
      </c>
      <c r="D159" s="6">
        <v>13042.4</v>
      </c>
      <c r="E159" t="s">
        <v>13</v>
      </c>
      <c r="F159" s="7">
        <v>1</v>
      </c>
      <c r="G159" s="6">
        <v>13042.4</v>
      </c>
      <c r="H159" t="s">
        <v>14</v>
      </c>
      <c r="I159" s="5">
        <v>45038</v>
      </c>
      <c r="K159" s="6" cm="1">
        <f t="array" ref="K159">_xlfn.IFS(Won[[#This Row],[SALES CHANNEL]]="RENEWAL",Won[[#This Row],[DEAL SIZE]]*Dashboard!$B$7,Won[[#This Row],[SALES CHANNEL]]="AD-HOC",Won[[#This Row],[DEAL SIZE]]*Dashboard!$B$8,Won[[#This Row],[SALES CHANNEL]]="NEW BUSINESS",Won[[#This Row],[DEAL SIZE]]*Dashboard!$B$9)</f>
        <v>1304.24</v>
      </c>
    </row>
    <row r="160" spans="1:11" x14ac:dyDescent="0.3">
      <c r="A160" t="str">
        <f>IF($C160="","",Dashboard!$B$3)</f>
        <v>Kelly</v>
      </c>
      <c r="B160" t="str">
        <f t="shared" si="2"/>
        <v>APRIL</v>
      </c>
      <c r="C160" t="s">
        <v>69</v>
      </c>
      <c r="D160" s="6">
        <v>13768.3</v>
      </c>
      <c r="E160" t="s">
        <v>13</v>
      </c>
      <c r="F160" s="7">
        <v>1</v>
      </c>
      <c r="G160" s="6">
        <v>13768.3</v>
      </c>
      <c r="H160" t="s">
        <v>36</v>
      </c>
      <c r="I160" s="5">
        <v>45044</v>
      </c>
      <c r="K160" s="6" cm="1">
        <f t="array" ref="K160">_xlfn.IFS(Won[[#This Row],[SALES CHANNEL]]="RENEWAL",Won[[#This Row],[DEAL SIZE]]*Dashboard!$B$7,Won[[#This Row],[SALES CHANNEL]]="AD-HOC",Won[[#This Row],[DEAL SIZE]]*Dashboard!$B$8,Won[[#This Row],[SALES CHANNEL]]="NEW BUSINESS",Won[[#This Row],[DEAL SIZE]]*Dashboard!$B$9)</f>
        <v>2753.66</v>
      </c>
    </row>
    <row r="161" spans="1:11" x14ac:dyDescent="0.3">
      <c r="A161" t="str">
        <f>IF($C161="","",Dashboard!$B$3)</f>
        <v>Kelly</v>
      </c>
      <c r="B161" t="str">
        <f t="shared" si="2"/>
        <v>APRIL</v>
      </c>
      <c r="C161" t="s">
        <v>97</v>
      </c>
      <c r="D161" s="6">
        <v>8122.6</v>
      </c>
      <c r="E161" t="s">
        <v>13</v>
      </c>
      <c r="F161" s="7">
        <v>1</v>
      </c>
      <c r="G161" s="6">
        <v>8122.6</v>
      </c>
      <c r="H161" t="s">
        <v>14</v>
      </c>
      <c r="I161" s="5">
        <v>45045</v>
      </c>
      <c r="K161" s="6" cm="1">
        <f t="array" ref="K161">_xlfn.IFS(Won[[#This Row],[SALES CHANNEL]]="RENEWAL",Won[[#This Row],[DEAL SIZE]]*Dashboard!$B$7,Won[[#This Row],[SALES CHANNEL]]="AD-HOC",Won[[#This Row],[DEAL SIZE]]*Dashboard!$B$8,Won[[#This Row],[SALES CHANNEL]]="NEW BUSINESS",Won[[#This Row],[DEAL SIZE]]*Dashboard!$B$9)</f>
        <v>812.2600000000001</v>
      </c>
    </row>
    <row r="162" spans="1:11" x14ac:dyDescent="0.3">
      <c r="A162" t="str">
        <f>IF($C162="","",Dashboard!$B$3)</f>
        <v>Kelly</v>
      </c>
      <c r="B162" t="str">
        <f t="shared" si="2"/>
        <v>MAY</v>
      </c>
      <c r="C162" t="s">
        <v>118</v>
      </c>
      <c r="D162" s="6">
        <v>12534.1</v>
      </c>
      <c r="E162" t="s">
        <v>13</v>
      </c>
      <c r="F162" s="7">
        <v>1</v>
      </c>
      <c r="G162" s="6">
        <v>12534.1</v>
      </c>
      <c r="H162" t="s">
        <v>14</v>
      </c>
      <c r="I162" s="5">
        <v>45047</v>
      </c>
      <c r="K162" s="6" cm="1">
        <f t="array" ref="K162">_xlfn.IFS(Won[[#This Row],[SALES CHANNEL]]="RENEWAL",Won[[#This Row],[DEAL SIZE]]*Dashboard!$B$7,Won[[#This Row],[SALES CHANNEL]]="AD-HOC",Won[[#This Row],[DEAL SIZE]]*Dashboard!$B$8,Won[[#This Row],[SALES CHANNEL]]="NEW BUSINESS",Won[[#This Row],[DEAL SIZE]]*Dashboard!$B$9)</f>
        <v>1253.4100000000001</v>
      </c>
    </row>
    <row r="163" spans="1:11" x14ac:dyDescent="0.3">
      <c r="A163" t="str">
        <f>IF($C163="","",Dashboard!$B$3)</f>
        <v>Kelly</v>
      </c>
      <c r="B163" t="str">
        <f t="shared" si="2"/>
        <v>MAY</v>
      </c>
      <c r="C163" t="s">
        <v>119</v>
      </c>
      <c r="D163" s="6">
        <v>14066.65</v>
      </c>
      <c r="E163" t="s">
        <v>13</v>
      </c>
      <c r="F163" s="7">
        <v>1</v>
      </c>
      <c r="G163" s="6">
        <v>14066.65</v>
      </c>
      <c r="H163" t="s">
        <v>14</v>
      </c>
      <c r="I163" s="5">
        <v>45047</v>
      </c>
      <c r="K163" s="6" cm="1">
        <f t="array" ref="K163">_xlfn.IFS(Won[[#This Row],[SALES CHANNEL]]="RENEWAL",Won[[#This Row],[DEAL SIZE]]*Dashboard!$B$7,Won[[#This Row],[SALES CHANNEL]]="AD-HOC",Won[[#This Row],[DEAL SIZE]]*Dashboard!$B$8,Won[[#This Row],[SALES CHANNEL]]="NEW BUSINESS",Won[[#This Row],[DEAL SIZE]]*Dashboard!$B$9)</f>
        <v>1406.665</v>
      </c>
    </row>
    <row r="164" spans="1:11" x14ac:dyDescent="0.3">
      <c r="A164" t="str">
        <f>IF($C164="","",Dashboard!$B$3)</f>
        <v>Kelly</v>
      </c>
      <c r="B164" t="str">
        <f t="shared" si="2"/>
        <v>MAY</v>
      </c>
      <c r="C164" t="s">
        <v>120</v>
      </c>
      <c r="D164" s="6">
        <v>10442.25</v>
      </c>
      <c r="E164" t="s">
        <v>13</v>
      </c>
      <c r="F164" s="7">
        <v>1</v>
      </c>
      <c r="G164" s="6">
        <v>10442.25</v>
      </c>
      <c r="H164" t="s">
        <v>36</v>
      </c>
      <c r="I164" s="5">
        <v>45047</v>
      </c>
      <c r="K164" s="6" cm="1">
        <f t="array" ref="K164">_xlfn.IFS(Won[[#This Row],[SALES CHANNEL]]="RENEWAL",Won[[#This Row],[DEAL SIZE]]*Dashboard!$B$7,Won[[#This Row],[SALES CHANNEL]]="AD-HOC",Won[[#This Row],[DEAL SIZE]]*Dashboard!$B$8,Won[[#This Row],[SALES CHANNEL]]="NEW BUSINESS",Won[[#This Row],[DEAL SIZE]]*Dashboard!$B$9)</f>
        <v>2088.4500000000003</v>
      </c>
    </row>
    <row r="165" spans="1:11" x14ac:dyDescent="0.3">
      <c r="A165" t="str">
        <f>IF($C165="","",Dashboard!$B$3)</f>
        <v>Kelly</v>
      </c>
      <c r="B165" t="str">
        <f t="shared" si="2"/>
        <v>MAY</v>
      </c>
      <c r="C165" t="s">
        <v>121</v>
      </c>
      <c r="D165" s="6">
        <v>9152.7999999999993</v>
      </c>
      <c r="E165" t="s">
        <v>13</v>
      </c>
      <c r="F165" s="7">
        <v>1</v>
      </c>
      <c r="G165" s="6">
        <v>9152.7999999999993</v>
      </c>
      <c r="H165" t="s">
        <v>36</v>
      </c>
      <c r="I165" s="5">
        <v>45047</v>
      </c>
      <c r="K165" s="6" cm="1">
        <f t="array" ref="K165">_xlfn.IFS(Won[[#This Row],[SALES CHANNEL]]="RENEWAL",Won[[#This Row],[DEAL SIZE]]*Dashboard!$B$7,Won[[#This Row],[SALES CHANNEL]]="AD-HOC",Won[[#This Row],[DEAL SIZE]]*Dashboard!$B$8,Won[[#This Row],[SALES CHANNEL]]="NEW BUSINESS",Won[[#This Row],[DEAL SIZE]]*Dashboard!$B$9)</f>
        <v>1830.56</v>
      </c>
    </row>
    <row r="166" spans="1:11" x14ac:dyDescent="0.3">
      <c r="A166" t="str">
        <f>IF($C166="","",Dashboard!$B$3)</f>
        <v>Kelly</v>
      </c>
      <c r="B166" t="str">
        <f t="shared" si="2"/>
        <v>MAY</v>
      </c>
      <c r="C166" t="s">
        <v>129</v>
      </c>
      <c r="D166" s="6">
        <v>13768.3</v>
      </c>
      <c r="E166" t="s">
        <v>13</v>
      </c>
      <c r="F166" s="7">
        <v>1</v>
      </c>
      <c r="G166" s="6">
        <v>13768.3</v>
      </c>
      <c r="H166" t="s">
        <v>36</v>
      </c>
      <c r="I166" s="5">
        <v>45068</v>
      </c>
      <c r="K166" s="6" cm="1">
        <f t="array" ref="K166">_xlfn.IFS(Won[[#This Row],[SALES CHANNEL]]="RENEWAL",Won[[#This Row],[DEAL SIZE]]*Dashboard!$B$7,Won[[#This Row],[SALES CHANNEL]]="AD-HOC",Won[[#This Row],[DEAL SIZE]]*Dashboard!$B$8,Won[[#This Row],[SALES CHANNEL]]="NEW BUSINESS",Won[[#This Row],[DEAL SIZE]]*Dashboard!$B$9)</f>
        <v>2753.66</v>
      </c>
    </row>
    <row r="167" spans="1:11" x14ac:dyDescent="0.3">
      <c r="A167" t="str">
        <f>IF($C167="","",Dashboard!$B$3)</f>
        <v>Kelly</v>
      </c>
      <c r="B167" t="str">
        <f t="shared" si="2"/>
        <v>MAY</v>
      </c>
      <c r="C167" t="s">
        <v>70</v>
      </c>
      <c r="D167" s="6">
        <v>8122.6</v>
      </c>
      <c r="E167" t="s">
        <v>13</v>
      </c>
      <c r="F167" s="7">
        <v>1</v>
      </c>
      <c r="G167" s="6">
        <v>8122.6</v>
      </c>
      <c r="H167" t="s">
        <v>14</v>
      </c>
      <c r="I167" s="5">
        <v>45071</v>
      </c>
      <c r="K167" s="6" cm="1">
        <f t="array" ref="K167">_xlfn.IFS(Won[[#This Row],[SALES CHANNEL]]="RENEWAL",Won[[#This Row],[DEAL SIZE]]*Dashboard!$B$7,Won[[#This Row],[SALES CHANNEL]]="AD-HOC",Won[[#This Row],[DEAL SIZE]]*Dashboard!$B$8,Won[[#This Row],[SALES CHANNEL]]="NEW BUSINESS",Won[[#This Row],[DEAL SIZE]]*Dashboard!$B$9)</f>
        <v>812.2600000000001</v>
      </c>
    </row>
    <row r="168" spans="1:11" x14ac:dyDescent="0.3">
      <c r="A168" t="str">
        <f>IF($C168="","",Dashboard!$B$3)</f>
        <v>Kelly</v>
      </c>
      <c r="B168" t="str">
        <f t="shared" si="2"/>
        <v>JUNE</v>
      </c>
      <c r="C168" t="s">
        <v>135</v>
      </c>
      <c r="D168" s="6">
        <v>18232.099999999999</v>
      </c>
      <c r="E168" t="s">
        <v>13</v>
      </c>
      <c r="F168" s="7">
        <v>1</v>
      </c>
      <c r="G168" s="6">
        <v>18232.099999999999</v>
      </c>
      <c r="H168" t="s">
        <v>36</v>
      </c>
      <c r="I168" s="5">
        <v>45078</v>
      </c>
      <c r="K168" s="6" cm="1">
        <f t="array" ref="K168">_xlfn.IFS(Won[[#This Row],[SALES CHANNEL]]="RENEWAL",Won[[#This Row],[DEAL SIZE]]*Dashboard!$B$7,Won[[#This Row],[SALES CHANNEL]]="AD-HOC",Won[[#This Row],[DEAL SIZE]]*Dashboard!$B$8,Won[[#This Row],[SALES CHANNEL]]="NEW BUSINESS",Won[[#This Row],[DEAL SIZE]]*Dashboard!$B$9)</f>
        <v>3646.42</v>
      </c>
    </row>
    <row r="169" spans="1:11" x14ac:dyDescent="0.3">
      <c r="A169" t="str">
        <f>IF($C169="","",Dashboard!$B$3)</f>
        <v>Kelly</v>
      </c>
      <c r="B169" t="str">
        <f t="shared" si="2"/>
        <v>JUNE</v>
      </c>
      <c r="C169" t="s">
        <v>136</v>
      </c>
      <c r="D169" s="6">
        <v>6990.85</v>
      </c>
      <c r="E169" t="s">
        <v>13</v>
      </c>
      <c r="F169" s="7">
        <v>1</v>
      </c>
      <c r="G169" s="6">
        <v>6990.85</v>
      </c>
      <c r="H169" t="s">
        <v>36</v>
      </c>
      <c r="I169" s="5">
        <v>45078</v>
      </c>
      <c r="K169" s="6" cm="1">
        <f t="array" ref="K169">_xlfn.IFS(Won[[#This Row],[SALES CHANNEL]]="RENEWAL",Won[[#This Row],[DEAL SIZE]]*Dashboard!$B$7,Won[[#This Row],[SALES CHANNEL]]="AD-HOC",Won[[#This Row],[DEAL SIZE]]*Dashboard!$B$8,Won[[#This Row],[SALES CHANNEL]]="NEW BUSINESS",Won[[#This Row],[DEAL SIZE]]*Dashboard!$B$9)</f>
        <v>1398.17</v>
      </c>
    </row>
    <row r="170" spans="1:11" x14ac:dyDescent="0.3">
      <c r="A170" t="str">
        <f>IF($C170="","",Dashboard!$B$3)</f>
        <v>Kelly</v>
      </c>
      <c r="B170" t="str">
        <f t="shared" si="2"/>
        <v>JUNE</v>
      </c>
      <c r="C170" t="s">
        <v>139</v>
      </c>
      <c r="D170" s="6">
        <v>10984.8</v>
      </c>
      <c r="E170" t="s">
        <v>13</v>
      </c>
      <c r="F170" s="7">
        <v>1</v>
      </c>
      <c r="G170" s="6">
        <v>10984.8</v>
      </c>
      <c r="H170" t="s">
        <v>14</v>
      </c>
      <c r="I170" s="5">
        <v>45079</v>
      </c>
      <c r="K170" s="6" cm="1">
        <f t="array" ref="K170">_xlfn.IFS(Won[[#This Row],[SALES CHANNEL]]="RENEWAL",Won[[#This Row],[DEAL SIZE]]*Dashboard!$B$7,Won[[#This Row],[SALES CHANNEL]]="AD-HOC",Won[[#This Row],[DEAL SIZE]]*Dashboard!$B$8,Won[[#This Row],[SALES CHANNEL]]="NEW BUSINESS",Won[[#This Row],[DEAL SIZE]]*Dashboard!$B$9)</f>
        <v>1098.48</v>
      </c>
    </row>
    <row r="171" spans="1:11" x14ac:dyDescent="0.3">
      <c r="A171" t="str">
        <f>IF($C171="","",Dashboard!$B$3)</f>
        <v>Kelly</v>
      </c>
      <c r="B171" t="str">
        <f t="shared" si="2"/>
        <v>JUNE</v>
      </c>
      <c r="C171" t="s">
        <v>140</v>
      </c>
      <c r="D171" s="6">
        <v>18918.650000000001</v>
      </c>
      <c r="E171" t="s">
        <v>13</v>
      </c>
      <c r="F171" s="7">
        <v>1</v>
      </c>
      <c r="G171" s="6">
        <v>18918.650000000001</v>
      </c>
      <c r="H171" t="s">
        <v>28</v>
      </c>
      <c r="I171" s="5">
        <v>45080</v>
      </c>
      <c r="K171" s="6" cm="1">
        <f t="array" ref="K171">_xlfn.IFS(Won[[#This Row],[SALES CHANNEL]]="RENEWAL",Won[[#This Row],[DEAL SIZE]]*Dashboard!$B$7,Won[[#This Row],[SALES CHANNEL]]="AD-HOC",Won[[#This Row],[DEAL SIZE]]*Dashboard!$B$8,Won[[#This Row],[SALES CHANNEL]]="NEW BUSINESS",Won[[#This Row],[DEAL SIZE]]*Dashboard!$B$9)</f>
        <v>945.93250000000012</v>
      </c>
    </row>
    <row r="172" spans="1:11" x14ac:dyDescent="0.3">
      <c r="A172" t="str">
        <f>IF($C172="","",Dashboard!$B$3)</f>
        <v>Kelly</v>
      </c>
      <c r="B172" t="str">
        <f t="shared" si="2"/>
        <v>JUNE</v>
      </c>
      <c r="C172" t="s">
        <v>69</v>
      </c>
      <c r="D172" s="6">
        <v>11766.8</v>
      </c>
      <c r="E172" t="s">
        <v>13</v>
      </c>
      <c r="F172" s="7">
        <v>1</v>
      </c>
      <c r="G172" s="6">
        <v>11766.8</v>
      </c>
      <c r="H172" t="s">
        <v>14</v>
      </c>
      <c r="I172" s="5">
        <v>45086</v>
      </c>
      <c r="K172" s="6" cm="1">
        <f t="array" ref="K172">_xlfn.IFS(Won[[#This Row],[SALES CHANNEL]]="RENEWAL",Won[[#This Row],[DEAL SIZE]]*Dashboard!$B$7,Won[[#This Row],[SALES CHANNEL]]="AD-HOC",Won[[#This Row],[DEAL SIZE]]*Dashboard!$B$8,Won[[#This Row],[SALES CHANNEL]]="NEW BUSINESS",Won[[#This Row],[DEAL SIZE]]*Dashboard!$B$9)</f>
        <v>1176.68</v>
      </c>
    </row>
    <row r="173" spans="1:11" x14ac:dyDescent="0.3">
      <c r="A173" t="str">
        <f>IF($C173="","",Dashboard!$B$3)</f>
        <v>Kelly</v>
      </c>
      <c r="B173" t="str">
        <f t="shared" si="2"/>
        <v>JUNE</v>
      </c>
      <c r="C173" t="s">
        <v>146</v>
      </c>
      <c r="D173" s="6">
        <v>20061.75</v>
      </c>
      <c r="E173" t="s">
        <v>13</v>
      </c>
      <c r="F173" s="7">
        <v>1</v>
      </c>
      <c r="G173" s="6">
        <v>20061.75</v>
      </c>
      <c r="H173" t="s">
        <v>28</v>
      </c>
      <c r="I173" s="5">
        <v>45089</v>
      </c>
      <c r="K173" s="6" cm="1">
        <f t="array" ref="K173">_xlfn.IFS(Won[[#This Row],[SALES CHANNEL]]="RENEWAL",Won[[#This Row],[DEAL SIZE]]*Dashboard!$B$7,Won[[#This Row],[SALES CHANNEL]]="AD-HOC",Won[[#This Row],[DEAL SIZE]]*Dashboard!$B$8,Won[[#This Row],[SALES CHANNEL]]="NEW BUSINESS",Won[[#This Row],[DEAL SIZE]]*Dashboard!$B$9)</f>
        <v>1003.0875000000001</v>
      </c>
    </row>
    <row r="174" spans="1:11" x14ac:dyDescent="0.3">
      <c r="A174" t="str">
        <f>IF($C174="","",Dashboard!$B$3)</f>
        <v>Kelly</v>
      </c>
      <c r="B174" t="str">
        <f t="shared" si="2"/>
        <v>JUNE</v>
      </c>
      <c r="C174" t="s">
        <v>93</v>
      </c>
      <c r="D174" s="6">
        <v>14741.51</v>
      </c>
      <c r="E174" t="s">
        <v>13</v>
      </c>
      <c r="F174" s="7">
        <v>1</v>
      </c>
      <c r="G174" s="6">
        <v>14741.51</v>
      </c>
      <c r="H174" t="s">
        <v>14</v>
      </c>
      <c r="I174" s="5">
        <v>45095</v>
      </c>
      <c r="K174" s="6" cm="1">
        <f t="array" ref="K174">_xlfn.IFS(Won[[#This Row],[SALES CHANNEL]]="RENEWAL",Won[[#This Row],[DEAL SIZE]]*Dashboard!$B$7,Won[[#This Row],[SALES CHANNEL]]="AD-HOC",Won[[#This Row],[DEAL SIZE]]*Dashboard!$B$8,Won[[#This Row],[SALES CHANNEL]]="NEW BUSINESS",Won[[#This Row],[DEAL SIZE]]*Dashboard!$B$9)</f>
        <v>1474.1510000000001</v>
      </c>
    </row>
    <row r="175" spans="1:11" x14ac:dyDescent="0.3">
      <c r="A175" t="str">
        <f>IF($C175="","",Dashboard!$B$3)</f>
        <v>Kelly</v>
      </c>
      <c r="B175" t="str">
        <f t="shared" si="2"/>
        <v>JUNE</v>
      </c>
      <c r="C175" t="s">
        <v>149</v>
      </c>
      <c r="D175" s="6">
        <v>19427.86</v>
      </c>
      <c r="E175" t="s">
        <v>13</v>
      </c>
      <c r="F175" s="7">
        <v>1</v>
      </c>
      <c r="G175" s="6">
        <v>19427.86</v>
      </c>
      <c r="H175" t="s">
        <v>36</v>
      </c>
      <c r="I175" s="5">
        <v>45095</v>
      </c>
      <c r="K175" s="6" cm="1">
        <f t="array" ref="K175">_xlfn.IFS(Won[[#This Row],[SALES CHANNEL]]="RENEWAL",Won[[#This Row],[DEAL SIZE]]*Dashboard!$B$7,Won[[#This Row],[SALES CHANNEL]]="AD-HOC",Won[[#This Row],[DEAL SIZE]]*Dashboard!$B$8,Won[[#This Row],[SALES CHANNEL]]="NEW BUSINESS",Won[[#This Row],[DEAL SIZE]]*Dashboard!$B$9)</f>
        <v>3885.5720000000001</v>
      </c>
    </row>
    <row r="176" spans="1:11" x14ac:dyDescent="0.3">
      <c r="A176" t="str">
        <f>IF($C176="","",Dashboard!$B$3)</f>
        <v>Kelly</v>
      </c>
      <c r="B176" t="str">
        <f t="shared" si="2"/>
        <v>JUNE</v>
      </c>
      <c r="C176" t="s">
        <v>153</v>
      </c>
      <c r="D176" s="6">
        <v>20845.490000000002</v>
      </c>
      <c r="E176" t="s">
        <v>13</v>
      </c>
      <c r="F176" s="7">
        <v>1</v>
      </c>
      <c r="G176" s="6">
        <v>20845.490000000002</v>
      </c>
      <c r="H176" t="s">
        <v>28</v>
      </c>
      <c r="I176" s="5">
        <v>45096</v>
      </c>
      <c r="K176" s="6" cm="1">
        <f t="array" ref="K176">_xlfn.IFS(Won[[#This Row],[SALES CHANNEL]]="RENEWAL",Won[[#This Row],[DEAL SIZE]]*Dashboard!$B$7,Won[[#This Row],[SALES CHANNEL]]="AD-HOC",Won[[#This Row],[DEAL SIZE]]*Dashboard!$B$8,Won[[#This Row],[SALES CHANNEL]]="NEW BUSINESS",Won[[#This Row],[DEAL SIZE]]*Dashboard!$B$9)</f>
        <v>1042.2745000000002</v>
      </c>
    </row>
    <row r="177" spans="1:11" x14ac:dyDescent="0.3">
      <c r="A177" t="str">
        <f>IF($C177="","",Dashboard!$B$3)</f>
        <v>Kelly</v>
      </c>
      <c r="B177" t="str">
        <f t="shared" si="2"/>
        <v>JUNE</v>
      </c>
      <c r="C177" t="s">
        <v>107</v>
      </c>
      <c r="D177" s="6">
        <v>22032.55</v>
      </c>
      <c r="E177" t="s">
        <v>13</v>
      </c>
      <c r="F177" s="7">
        <v>1</v>
      </c>
      <c r="G177" s="6">
        <v>22032.55</v>
      </c>
      <c r="H177" t="s">
        <v>14</v>
      </c>
      <c r="I177" s="5">
        <v>45107</v>
      </c>
      <c r="K177" s="6" cm="1">
        <f t="array" ref="K177">_xlfn.IFS(Won[[#This Row],[SALES CHANNEL]]="RENEWAL",Won[[#This Row],[DEAL SIZE]]*Dashboard!$B$7,Won[[#This Row],[SALES CHANNEL]]="AD-HOC",Won[[#This Row],[DEAL SIZE]]*Dashboard!$B$8,Won[[#This Row],[SALES CHANNEL]]="NEW BUSINESS",Won[[#This Row],[DEAL SIZE]]*Dashboard!$B$9)</f>
        <v>2203.2550000000001</v>
      </c>
    </row>
    <row r="178" spans="1:11" x14ac:dyDescent="0.3">
      <c r="A178" t="str">
        <f>IF($C178="","",Dashboard!$B$3)</f>
        <v>Kelly</v>
      </c>
      <c r="B178" t="str">
        <f t="shared" si="2"/>
        <v>JUNE</v>
      </c>
      <c r="C178" t="s">
        <v>154</v>
      </c>
      <c r="D178" s="6">
        <v>25458.05</v>
      </c>
      <c r="E178" t="s">
        <v>13</v>
      </c>
      <c r="F178" s="7">
        <v>1</v>
      </c>
      <c r="G178" s="6">
        <v>25458.05</v>
      </c>
      <c r="H178" t="s">
        <v>36</v>
      </c>
      <c r="I178" s="5">
        <v>45107</v>
      </c>
      <c r="K178" s="6" cm="1">
        <f t="array" ref="K178">_xlfn.IFS(Won[[#This Row],[SALES CHANNEL]]="RENEWAL",Won[[#This Row],[DEAL SIZE]]*Dashboard!$B$7,Won[[#This Row],[SALES CHANNEL]]="AD-HOC",Won[[#This Row],[DEAL SIZE]]*Dashboard!$B$8,Won[[#This Row],[SALES CHANNEL]]="NEW BUSINESS",Won[[#This Row],[DEAL SIZE]]*Dashboard!$B$9)</f>
        <v>5091.6100000000006</v>
      </c>
    </row>
    <row r="179" spans="1:11" x14ac:dyDescent="0.3">
      <c r="A179" t="str">
        <f>IF($C179="","",Dashboard!$B$3)</f>
        <v>Kelly</v>
      </c>
      <c r="B179" t="str">
        <f t="shared" si="2"/>
        <v>JUNE</v>
      </c>
      <c r="C179" t="s">
        <v>162</v>
      </c>
      <c r="D179" s="6">
        <v>19427.86</v>
      </c>
      <c r="E179" t="s">
        <v>13</v>
      </c>
      <c r="F179" s="7">
        <v>1</v>
      </c>
      <c r="G179" s="6">
        <v>19427.86</v>
      </c>
      <c r="H179" t="s">
        <v>28</v>
      </c>
      <c r="I179" s="5">
        <v>45107</v>
      </c>
      <c r="K179" s="6" cm="1">
        <f t="array" ref="K179">_xlfn.IFS(Won[[#This Row],[SALES CHANNEL]]="RENEWAL",Won[[#This Row],[DEAL SIZE]]*Dashboard!$B$7,Won[[#This Row],[SALES CHANNEL]]="AD-HOC",Won[[#This Row],[DEAL SIZE]]*Dashboard!$B$8,Won[[#This Row],[SALES CHANNEL]]="NEW BUSINESS",Won[[#This Row],[DEAL SIZE]]*Dashboard!$B$9)</f>
        <v>971.39300000000003</v>
      </c>
    </row>
    <row r="180" spans="1:11" x14ac:dyDescent="0.3">
      <c r="A180" t="str">
        <f>IF($C180="","",Dashboard!$B$3)</f>
        <v>Kelly</v>
      </c>
      <c r="B180" t="str">
        <f t="shared" si="2"/>
        <v>JULY</v>
      </c>
      <c r="C180" t="s">
        <v>164</v>
      </c>
      <c r="D180" s="6">
        <v>21803.31</v>
      </c>
      <c r="E180" t="s">
        <v>13</v>
      </c>
      <c r="F180" s="7">
        <v>1</v>
      </c>
      <c r="G180" s="6">
        <v>21803.31</v>
      </c>
      <c r="H180" t="s">
        <v>36</v>
      </c>
      <c r="I180" s="5">
        <v>45109</v>
      </c>
      <c r="K180" s="6" cm="1">
        <f t="array" ref="K180">_xlfn.IFS(Won[[#This Row],[SALES CHANNEL]]="RENEWAL",Won[[#This Row],[DEAL SIZE]]*Dashboard!$B$7,Won[[#This Row],[SALES CHANNEL]]="AD-HOC",Won[[#This Row],[DEAL SIZE]]*Dashboard!$B$8,Won[[#This Row],[SALES CHANNEL]]="NEW BUSINESS",Won[[#This Row],[DEAL SIZE]]*Dashboard!$B$9)</f>
        <v>4360.6620000000003</v>
      </c>
    </row>
    <row r="181" spans="1:11" x14ac:dyDescent="0.3">
      <c r="A181" t="str">
        <f>IF($C181="","",Dashboard!$B$3)</f>
        <v>Kelly</v>
      </c>
      <c r="B181" t="str">
        <f t="shared" si="2"/>
        <v>JULY</v>
      </c>
      <c r="C181" t="s">
        <v>165</v>
      </c>
      <c r="D181" s="6">
        <v>16185.49</v>
      </c>
      <c r="E181" t="s">
        <v>13</v>
      </c>
      <c r="F181" s="7">
        <v>1</v>
      </c>
      <c r="G181" s="6">
        <v>16185.49</v>
      </c>
      <c r="H181" t="s">
        <v>36</v>
      </c>
      <c r="I181" s="5">
        <v>45110</v>
      </c>
      <c r="K181" s="6" cm="1">
        <f t="array" ref="K181">_xlfn.IFS(Won[[#This Row],[SALES CHANNEL]]="RENEWAL",Won[[#This Row],[DEAL SIZE]]*Dashboard!$B$7,Won[[#This Row],[SALES CHANNEL]]="AD-HOC",Won[[#This Row],[DEAL SIZE]]*Dashboard!$B$8,Won[[#This Row],[SALES CHANNEL]]="NEW BUSINESS",Won[[#This Row],[DEAL SIZE]]*Dashboard!$B$9)</f>
        <v>3237.098</v>
      </c>
    </row>
    <row r="182" spans="1:11" x14ac:dyDescent="0.3">
      <c r="A182" t="str">
        <f>IF($C182="","",Dashboard!$B$3)</f>
        <v>Kelly</v>
      </c>
      <c r="B182" t="str">
        <f t="shared" si="2"/>
        <v>JULY</v>
      </c>
      <c r="C182" t="s">
        <v>145</v>
      </c>
      <c r="D182" s="6">
        <v>14186.84</v>
      </c>
      <c r="E182" t="s">
        <v>13</v>
      </c>
      <c r="F182" s="7">
        <v>1</v>
      </c>
      <c r="G182" s="6">
        <v>14186.84</v>
      </c>
      <c r="H182" t="s">
        <v>14</v>
      </c>
      <c r="I182" s="5">
        <v>45112</v>
      </c>
      <c r="K182" s="6" cm="1">
        <f t="array" ref="K182">_xlfn.IFS(Won[[#This Row],[SALES CHANNEL]]="RENEWAL",Won[[#This Row],[DEAL SIZE]]*Dashboard!$B$7,Won[[#This Row],[SALES CHANNEL]]="AD-HOC",Won[[#This Row],[DEAL SIZE]]*Dashboard!$B$8,Won[[#This Row],[SALES CHANNEL]]="NEW BUSINESS",Won[[#This Row],[DEAL SIZE]]*Dashboard!$B$9)</f>
        <v>1418.6840000000002</v>
      </c>
    </row>
    <row r="183" spans="1:11" x14ac:dyDescent="0.3">
      <c r="A183" t="str">
        <f>IF($C183="","",Dashboard!$B$3)</f>
        <v>Kelly</v>
      </c>
      <c r="B183" t="str">
        <f t="shared" si="2"/>
        <v>JULY</v>
      </c>
      <c r="C183" t="s">
        <v>169</v>
      </c>
      <c r="D183" s="6">
        <v>20215.72</v>
      </c>
      <c r="E183" t="s">
        <v>13</v>
      </c>
      <c r="F183" s="7">
        <v>1</v>
      </c>
      <c r="G183" s="6">
        <v>20215.72</v>
      </c>
      <c r="H183" t="s">
        <v>28</v>
      </c>
      <c r="I183" s="5">
        <v>45117</v>
      </c>
      <c r="K183" s="6" cm="1">
        <f t="array" ref="K183">_xlfn.IFS(Won[[#This Row],[SALES CHANNEL]]="RENEWAL",Won[[#This Row],[DEAL SIZE]]*Dashboard!$B$7,Won[[#This Row],[SALES CHANNEL]]="AD-HOC",Won[[#This Row],[DEAL SIZE]]*Dashboard!$B$8,Won[[#This Row],[SALES CHANNEL]]="NEW BUSINESS",Won[[#This Row],[DEAL SIZE]]*Dashboard!$B$9)</f>
        <v>1010.7860000000001</v>
      </c>
    </row>
    <row r="184" spans="1:11" x14ac:dyDescent="0.3">
      <c r="A184" t="str">
        <f>IF($C184="","",Dashboard!$B$3)</f>
        <v>Kelly</v>
      </c>
      <c r="B184" t="str">
        <f t="shared" si="2"/>
        <v>JULY</v>
      </c>
      <c r="C184" t="s">
        <v>170</v>
      </c>
      <c r="D184" s="6">
        <v>25209.05</v>
      </c>
      <c r="E184" t="s">
        <v>13</v>
      </c>
      <c r="F184" s="7">
        <v>1</v>
      </c>
      <c r="G184" s="6">
        <v>25209.05</v>
      </c>
      <c r="H184" t="s">
        <v>28</v>
      </c>
      <c r="I184" s="5">
        <v>45119</v>
      </c>
      <c r="K184" s="6" cm="1">
        <f t="array" ref="K184">_xlfn.IFS(Won[[#This Row],[SALES CHANNEL]]="RENEWAL",Won[[#This Row],[DEAL SIZE]]*Dashboard!$B$7,Won[[#This Row],[SALES CHANNEL]]="AD-HOC",Won[[#This Row],[DEAL SIZE]]*Dashboard!$B$8,Won[[#This Row],[SALES CHANNEL]]="NEW BUSINESS",Won[[#This Row],[DEAL SIZE]]*Dashboard!$B$9)</f>
        <v>1260.4525000000001</v>
      </c>
    </row>
    <row r="185" spans="1:11" x14ac:dyDescent="0.3">
      <c r="A185" t="str">
        <f>IF($C185="","",Dashboard!$B$3)</f>
        <v>Kelly</v>
      </c>
      <c r="B185" t="str">
        <f t="shared" si="2"/>
        <v>JULY</v>
      </c>
      <c r="C185" t="s">
        <v>57</v>
      </c>
      <c r="D185" s="6">
        <v>24913.93</v>
      </c>
      <c r="E185" t="s">
        <v>13</v>
      </c>
      <c r="F185" s="7">
        <v>1</v>
      </c>
      <c r="G185" s="6">
        <v>24913.93</v>
      </c>
      <c r="H185" t="s">
        <v>14</v>
      </c>
      <c r="I185" s="5">
        <v>45120</v>
      </c>
      <c r="K185" s="6" cm="1">
        <f t="array" ref="K185">_xlfn.IFS(Won[[#This Row],[SALES CHANNEL]]="RENEWAL",Won[[#This Row],[DEAL SIZE]]*Dashboard!$B$7,Won[[#This Row],[SALES CHANNEL]]="AD-HOC",Won[[#This Row],[DEAL SIZE]]*Dashboard!$B$8,Won[[#This Row],[SALES CHANNEL]]="NEW BUSINESS",Won[[#This Row],[DEAL SIZE]]*Dashboard!$B$9)</f>
        <v>2491.393</v>
      </c>
    </row>
    <row r="186" spans="1:11" x14ac:dyDescent="0.3">
      <c r="A186" t="str">
        <f>IF($C186="","",Dashboard!$B$3)</f>
        <v>Kelly</v>
      </c>
      <c r="B186" t="str">
        <f t="shared" si="2"/>
        <v>JULY</v>
      </c>
      <c r="C186" t="s">
        <v>174</v>
      </c>
      <c r="D186" s="6">
        <v>10206.6</v>
      </c>
      <c r="E186" t="s">
        <v>13</v>
      </c>
      <c r="F186" s="7">
        <v>1</v>
      </c>
      <c r="G186" s="6">
        <v>10206.6</v>
      </c>
      <c r="H186" t="s">
        <v>28</v>
      </c>
      <c r="I186" s="5">
        <v>45129</v>
      </c>
      <c r="K186" s="6" cm="1">
        <f t="array" ref="K186">_xlfn.IFS(Won[[#This Row],[SALES CHANNEL]]="RENEWAL",Won[[#This Row],[DEAL SIZE]]*Dashboard!$B$7,Won[[#This Row],[SALES CHANNEL]]="AD-HOC",Won[[#This Row],[DEAL SIZE]]*Dashboard!$B$8,Won[[#This Row],[SALES CHANNEL]]="NEW BUSINESS",Won[[#This Row],[DEAL SIZE]]*Dashboard!$B$9)</f>
        <v>510.33000000000004</v>
      </c>
    </row>
    <row r="187" spans="1:11" x14ac:dyDescent="0.3">
      <c r="A187" t="str">
        <f>IF($C187="","",Dashboard!$B$3)</f>
        <v>Kelly</v>
      </c>
      <c r="B187" t="str">
        <f t="shared" si="2"/>
        <v>JULY</v>
      </c>
      <c r="C187" t="s">
        <v>122</v>
      </c>
      <c r="D187" s="6">
        <v>17181.52</v>
      </c>
      <c r="E187" t="s">
        <v>13</v>
      </c>
      <c r="F187" s="7">
        <v>1</v>
      </c>
      <c r="G187" s="6">
        <v>17181.52</v>
      </c>
      <c r="H187" t="s">
        <v>14</v>
      </c>
      <c r="I187" s="5">
        <v>45132</v>
      </c>
      <c r="K187" s="6" cm="1">
        <f t="array" ref="K187">_xlfn.IFS(Won[[#This Row],[SALES CHANNEL]]="RENEWAL",Won[[#This Row],[DEAL SIZE]]*Dashboard!$B$7,Won[[#This Row],[SALES CHANNEL]]="AD-HOC",Won[[#This Row],[DEAL SIZE]]*Dashboard!$B$8,Won[[#This Row],[SALES CHANNEL]]="NEW BUSINESS",Won[[#This Row],[DEAL SIZE]]*Dashboard!$B$9)</f>
        <v>1718.152</v>
      </c>
    </row>
    <row r="188" spans="1:11" x14ac:dyDescent="0.3">
      <c r="A188" t="str">
        <f>IF($C188="","",Dashboard!$B$3)</f>
        <v>Kelly</v>
      </c>
      <c r="B188" t="str">
        <f t="shared" si="2"/>
        <v>JULY</v>
      </c>
      <c r="C188" t="s">
        <v>178</v>
      </c>
      <c r="D188" s="6">
        <v>10835.82</v>
      </c>
      <c r="E188" t="s">
        <v>13</v>
      </c>
      <c r="F188" s="7">
        <v>1</v>
      </c>
      <c r="G188" s="6">
        <v>10835.82</v>
      </c>
      <c r="H188" t="s">
        <v>14</v>
      </c>
      <c r="I188" s="5">
        <v>45137</v>
      </c>
      <c r="K188" s="6" cm="1">
        <f t="array" ref="K188">_xlfn.IFS(Won[[#This Row],[SALES CHANNEL]]="RENEWAL",Won[[#This Row],[DEAL SIZE]]*Dashboard!$B$7,Won[[#This Row],[SALES CHANNEL]]="AD-HOC",Won[[#This Row],[DEAL SIZE]]*Dashboard!$B$8,Won[[#This Row],[SALES CHANNEL]]="NEW BUSINESS",Won[[#This Row],[DEAL SIZE]]*Dashboard!$B$9)</f>
        <v>1083.5820000000001</v>
      </c>
    </row>
    <row r="189" spans="1:11" x14ac:dyDescent="0.3">
      <c r="A189" t="str">
        <f>IF($C189="","",Dashboard!$B$3)</f>
        <v>Kelly</v>
      </c>
      <c r="B189" t="str">
        <f t="shared" si="2"/>
        <v>AUGUST</v>
      </c>
      <c r="C189" t="s">
        <v>180</v>
      </c>
      <c r="D189" s="6">
        <v>26584.21</v>
      </c>
      <c r="E189" t="s">
        <v>13</v>
      </c>
      <c r="F189" s="7">
        <v>1</v>
      </c>
      <c r="G189" s="6">
        <v>26584.21</v>
      </c>
      <c r="H189" t="s">
        <v>14</v>
      </c>
      <c r="I189" s="5">
        <v>45140</v>
      </c>
      <c r="K189" s="6" cm="1">
        <f t="array" ref="K189">_xlfn.IFS(Won[[#This Row],[SALES CHANNEL]]="RENEWAL",Won[[#This Row],[DEAL SIZE]]*Dashboard!$B$7,Won[[#This Row],[SALES CHANNEL]]="AD-HOC",Won[[#This Row],[DEAL SIZE]]*Dashboard!$B$8,Won[[#This Row],[SALES CHANNEL]]="NEW BUSINESS",Won[[#This Row],[DEAL SIZE]]*Dashboard!$B$9)</f>
        <v>2658.4210000000003</v>
      </c>
    </row>
    <row r="190" spans="1:11" x14ac:dyDescent="0.3">
      <c r="A190" t="str">
        <f>IF($C190="","",Dashboard!$B$3)</f>
        <v>Kelly</v>
      </c>
      <c r="B190" t="str">
        <f t="shared" si="2"/>
        <v>AUGUST</v>
      </c>
      <c r="C190" t="s">
        <v>182</v>
      </c>
      <c r="D190" s="6">
        <v>17026.439999999999</v>
      </c>
      <c r="E190" t="s">
        <v>13</v>
      </c>
      <c r="F190" s="7">
        <v>1</v>
      </c>
      <c r="G190" s="6">
        <v>17026.439999999999</v>
      </c>
      <c r="H190" t="s">
        <v>28</v>
      </c>
      <c r="I190" s="5">
        <v>45140</v>
      </c>
      <c r="K190" s="6" cm="1">
        <f t="array" ref="K190">_xlfn.IFS(Won[[#This Row],[SALES CHANNEL]]="RENEWAL",Won[[#This Row],[DEAL SIZE]]*Dashboard!$B$7,Won[[#This Row],[SALES CHANNEL]]="AD-HOC",Won[[#This Row],[DEAL SIZE]]*Dashboard!$B$8,Won[[#This Row],[SALES CHANNEL]]="NEW BUSINESS",Won[[#This Row],[DEAL SIZE]]*Dashboard!$B$9)</f>
        <v>851.322</v>
      </c>
    </row>
    <row r="191" spans="1:11" x14ac:dyDescent="0.3">
      <c r="A191" t="str">
        <f>IF($C191="","",Dashboard!$B$3)</f>
        <v>Kelly</v>
      </c>
      <c r="B191" t="str">
        <f t="shared" si="2"/>
        <v>AUGUST</v>
      </c>
      <c r="C191" t="s">
        <v>183</v>
      </c>
      <c r="D191" s="6">
        <v>29323.91</v>
      </c>
      <c r="E191" t="s">
        <v>13</v>
      </c>
      <c r="F191" s="7">
        <v>1</v>
      </c>
      <c r="G191" s="6">
        <v>29323.91</v>
      </c>
      <c r="H191" t="s">
        <v>36</v>
      </c>
      <c r="I191" s="5">
        <v>45142</v>
      </c>
      <c r="K191" s="6" cm="1">
        <f t="array" ref="K191">_xlfn.IFS(Won[[#This Row],[SALES CHANNEL]]="RENEWAL",Won[[#This Row],[DEAL SIZE]]*Dashboard!$B$7,Won[[#This Row],[SALES CHANNEL]]="AD-HOC",Won[[#This Row],[DEAL SIZE]]*Dashboard!$B$8,Won[[#This Row],[SALES CHANNEL]]="NEW BUSINESS",Won[[#This Row],[DEAL SIZE]]*Dashboard!$B$9)</f>
        <v>5864.7820000000002</v>
      </c>
    </row>
    <row r="192" spans="1:11" x14ac:dyDescent="0.3">
      <c r="A192" t="str">
        <f>IF($C192="","",Dashboard!$B$3)</f>
        <v>Kelly</v>
      </c>
      <c r="B192" t="str">
        <f t="shared" si="2"/>
        <v>AUGUST</v>
      </c>
      <c r="C192" t="s">
        <v>33</v>
      </c>
      <c r="D192" s="6">
        <v>19896.27</v>
      </c>
      <c r="E192" t="s">
        <v>13</v>
      </c>
      <c r="F192" s="7">
        <v>1</v>
      </c>
      <c r="G192" s="6">
        <v>19896.27</v>
      </c>
      <c r="H192" t="s">
        <v>36</v>
      </c>
      <c r="I192" s="5">
        <v>45148</v>
      </c>
      <c r="K192" s="6" cm="1">
        <f t="array" ref="K192">_xlfn.IFS(Won[[#This Row],[SALES CHANNEL]]="RENEWAL",Won[[#This Row],[DEAL SIZE]]*Dashboard!$B$7,Won[[#This Row],[SALES CHANNEL]]="AD-HOC",Won[[#This Row],[DEAL SIZE]]*Dashboard!$B$8,Won[[#This Row],[SALES CHANNEL]]="NEW BUSINESS",Won[[#This Row],[DEAL SIZE]]*Dashboard!$B$9)</f>
        <v>3979.2540000000004</v>
      </c>
    </row>
    <row r="193" spans="1:11" x14ac:dyDescent="0.3">
      <c r="A193" t="str">
        <f>IF($C193="","",Dashboard!$B$3)</f>
        <v>Kelly</v>
      </c>
      <c r="B193" t="str">
        <f t="shared" si="2"/>
        <v>AUGUST</v>
      </c>
      <c r="C193" t="s">
        <v>171</v>
      </c>
      <c r="D193" s="6">
        <v>18081.68</v>
      </c>
      <c r="E193" t="s">
        <v>13</v>
      </c>
      <c r="F193" s="7">
        <v>1</v>
      </c>
      <c r="G193" s="6">
        <v>18081.68</v>
      </c>
      <c r="H193" t="s">
        <v>14</v>
      </c>
      <c r="I193" s="5">
        <v>45152</v>
      </c>
      <c r="K193" s="6" cm="1">
        <f t="array" ref="K193">_xlfn.IFS(Won[[#This Row],[SALES CHANNEL]]="RENEWAL",Won[[#This Row],[DEAL SIZE]]*Dashboard!$B$7,Won[[#This Row],[SALES CHANNEL]]="AD-HOC",Won[[#This Row],[DEAL SIZE]]*Dashboard!$B$8,Won[[#This Row],[SALES CHANNEL]]="NEW BUSINESS",Won[[#This Row],[DEAL SIZE]]*Dashboard!$B$9)</f>
        <v>1808.1680000000001</v>
      </c>
    </row>
    <row r="194" spans="1:11" x14ac:dyDescent="0.3">
      <c r="A194" t="str">
        <f>IF($C194="","",Dashboard!$B$3)</f>
        <v>Kelly</v>
      </c>
      <c r="B194" t="str">
        <f t="shared" si="2"/>
        <v>AUGUST</v>
      </c>
      <c r="C194" t="s">
        <v>121</v>
      </c>
      <c r="D194" s="6">
        <v>23029.9</v>
      </c>
      <c r="E194" t="s">
        <v>13</v>
      </c>
      <c r="F194" s="7">
        <v>1</v>
      </c>
      <c r="G194" s="6">
        <v>23029.9</v>
      </c>
      <c r="H194" t="s">
        <v>14</v>
      </c>
      <c r="I194" s="5">
        <v>45152</v>
      </c>
      <c r="K194" s="6" cm="1">
        <f t="array" ref="K194">_xlfn.IFS(Won[[#This Row],[SALES CHANNEL]]="RENEWAL",Won[[#This Row],[DEAL SIZE]]*Dashboard!$B$7,Won[[#This Row],[SALES CHANNEL]]="AD-HOC",Won[[#This Row],[DEAL SIZE]]*Dashboard!$B$8,Won[[#This Row],[SALES CHANNEL]]="NEW BUSINESS",Won[[#This Row],[DEAL SIZE]]*Dashboard!$B$9)</f>
        <v>2302.9900000000002</v>
      </c>
    </row>
    <row r="195" spans="1:11" x14ac:dyDescent="0.3">
      <c r="A195" t="str">
        <f>IF($C195="","",Dashboard!$B$3)</f>
        <v>Kelly</v>
      </c>
      <c r="B195" t="str">
        <f t="shared" si="2"/>
        <v>AUGUST</v>
      </c>
      <c r="C195" t="s">
        <v>186</v>
      </c>
      <c r="D195" s="6">
        <v>9347.43</v>
      </c>
      <c r="E195" t="s">
        <v>13</v>
      </c>
      <c r="F195" s="7">
        <v>1</v>
      </c>
      <c r="G195" s="6">
        <v>9347.43</v>
      </c>
      <c r="H195" t="s">
        <v>28</v>
      </c>
      <c r="I195" s="5">
        <v>45153</v>
      </c>
      <c r="K195" s="6" cm="1">
        <f t="array" ref="K195">_xlfn.IFS(Won[[#This Row],[SALES CHANNEL]]="RENEWAL",Won[[#This Row],[DEAL SIZE]]*Dashboard!$B$7,Won[[#This Row],[SALES CHANNEL]]="AD-HOC",Won[[#This Row],[DEAL SIZE]]*Dashboard!$B$8,Won[[#This Row],[SALES CHANNEL]]="NEW BUSINESS",Won[[#This Row],[DEAL SIZE]]*Dashboard!$B$9)</f>
        <v>467.37150000000003</v>
      </c>
    </row>
    <row r="196" spans="1:11" x14ac:dyDescent="0.3">
      <c r="A196" t="str">
        <f>IF($C196="","",Dashboard!$B$3)</f>
        <v>Kelly</v>
      </c>
      <c r="B196" t="str">
        <f t="shared" si="2"/>
        <v>AUGUST</v>
      </c>
      <c r="C196" t="s">
        <v>187</v>
      </c>
      <c r="D196" s="6">
        <v>9020.8799999999992</v>
      </c>
      <c r="E196" t="s">
        <v>13</v>
      </c>
      <c r="F196" s="7">
        <v>1</v>
      </c>
      <c r="G196" s="6">
        <v>9020.8799999999992</v>
      </c>
      <c r="H196" t="s">
        <v>28</v>
      </c>
      <c r="I196" s="5">
        <v>45158</v>
      </c>
      <c r="K196" s="6" cm="1">
        <f t="array" ref="K196">_xlfn.IFS(Won[[#This Row],[SALES CHANNEL]]="RENEWAL",Won[[#This Row],[DEAL SIZE]]*Dashboard!$B$7,Won[[#This Row],[SALES CHANNEL]]="AD-HOC",Won[[#This Row],[DEAL SIZE]]*Dashboard!$B$8,Won[[#This Row],[SALES CHANNEL]]="NEW BUSINESS",Won[[#This Row],[DEAL SIZE]]*Dashboard!$B$9)</f>
        <v>451.04399999999998</v>
      </c>
    </row>
    <row r="197" spans="1:11" x14ac:dyDescent="0.3">
      <c r="A197" t="str">
        <f>IF($C197="","",Dashboard!$B$3)</f>
        <v>Kelly</v>
      </c>
      <c r="B197" t="str">
        <f t="shared" ref="B197:B214" si="3">IF($I197="","",UPPER(TEXT($I197,"mmmm")))</f>
        <v>AUGUST</v>
      </c>
      <c r="C197" t="s">
        <v>147</v>
      </c>
      <c r="D197" s="6">
        <v>10461.719999999999</v>
      </c>
      <c r="E197" t="s">
        <v>13</v>
      </c>
      <c r="F197" s="7">
        <v>1</v>
      </c>
      <c r="G197" s="6">
        <v>10461.719999999999</v>
      </c>
      <c r="H197" t="s">
        <v>14</v>
      </c>
      <c r="I197" s="5">
        <v>45161</v>
      </c>
      <c r="K197" s="6" cm="1">
        <f t="array" ref="K197">_xlfn.IFS(Won[[#This Row],[SALES CHANNEL]]="RENEWAL",Won[[#This Row],[DEAL SIZE]]*Dashboard!$B$7,Won[[#This Row],[SALES CHANNEL]]="AD-HOC",Won[[#This Row],[DEAL SIZE]]*Dashboard!$B$8,Won[[#This Row],[SALES CHANNEL]]="NEW BUSINESS",Won[[#This Row],[DEAL SIZE]]*Dashboard!$B$9)</f>
        <v>1046.172</v>
      </c>
    </row>
    <row r="198" spans="1:11" x14ac:dyDescent="0.3">
      <c r="A198" t="str">
        <f>IF($C198="","",Dashboard!$B$3)</f>
        <v>Kelly</v>
      </c>
      <c r="B198" t="str">
        <f t="shared" si="3"/>
        <v>AUGUST</v>
      </c>
      <c r="C198" t="s">
        <v>189</v>
      </c>
      <c r="D198" s="6">
        <v>15473.32</v>
      </c>
      <c r="E198" t="s">
        <v>13</v>
      </c>
      <c r="F198" s="7">
        <v>1</v>
      </c>
      <c r="G198" s="6">
        <v>15473.32</v>
      </c>
      <c r="H198" t="s">
        <v>36</v>
      </c>
      <c r="I198" s="5">
        <v>45162</v>
      </c>
      <c r="K198" s="6" cm="1">
        <f t="array" ref="K198">_xlfn.IFS(Won[[#This Row],[SALES CHANNEL]]="RENEWAL",Won[[#This Row],[DEAL SIZE]]*Dashboard!$B$7,Won[[#This Row],[SALES CHANNEL]]="AD-HOC",Won[[#This Row],[DEAL SIZE]]*Dashboard!$B$8,Won[[#This Row],[SALES CHANNEL]]="NEW BUSINESS",Won[[#This Row],[DEAL SIZE]]*Dashboard!$B$9)</f>
        <v>3094.6640000000002</v>
      </c>
    </row>
    <row r="199" spans="1:11" x14ac:dyDescent="0.3">
      <c r="A199" t="str">
        <f>IF($C199="","",Dashboard!$B$3)</f>
        <v>Kelly</v>
      </c>
      <c r="B199" t="str">
        <f t="shared" si="3"/>
        <v>AUGUST</v>
      </c>
      <c r="C199" t="s">
        <v>191</v>
      </c>
      <c r="D199" s="6">
        <v>10068.08</v>
      </c>
      <c r="E199" t="s">
        <v>13</v>
      </c>
      <c r="F199" s="7">
        <v>1</v>
      </c>
      <c r="G199" s="6">
        <v>10068.08</v>
      </c>
      <c r="H199" t="s">
        <v>14</v>
      </c>
      <c r="I199" s="5">
        <v>45165</v>
      </c>
      <c r="K199" s="6" cm="1">
        <f t="array" ref="K199">_xlfn.IFS(Won[[#This Row],[SALES CHANNEL]]="RENEWAL",Won[[#This Row],[DEAL SIZE]]*Dashboard!$B$7,Won[[#This Row],[SALES CHANNEL]]="AD-HOC",Won[[#This Row],[DEAL SIZE]]*Dashboard!$B$8,Won[[#This Row],[SALES CHANNEL]]="NEW BUSINESS",Won[[#This Row],[DEAL SIZE]]*Dashboard!$B$9)</f>
        <v>1006.808</v>
      </c>
    </row>
    <row r="200" spans="1:11" x14ac:dyDescent="0.3">
      <c r="A200" t="str">
        <f>IF($C200="","",Dashboard!$B$3)</f>
        <v>Kelly</v>
      </c>
      <c r="B200" t="str">
        <f t="shared" si="3"/>
        <v>SEPTEMBER</v>
      </c>
      <c r="C200" t="s">
        <v>194</v>
      </c>
      <c r="D200" s="6">
        <v>15636.01</v>
      </c>
      <c r="E200" t="s">
        <v>13</v>
      </c>
      <c r="F200" s="7">
        <v>1</v>
      </c>
      <c r="G200" s="6">
        <v>15636.01</v>
      </c>
      <c r="H200" t="s">
        <v>36</v>
      </c>
      <c r="I200" s="5">
        <v>45170</v>
      </c>
      <c r="K200" s="6" cm="1">
        <f t="array" ref="K200">_xlfn.IFS(Won[[#This Row],[SALES CHANNEL]]="RENEWAL",Won[[#This Row],[DEAL SIZE]]*Dashboard!$B$7,Won[[#This Row],[SALES CHANNEL]]="AD-HOC",Won[[#This Row],[DEAL SIZE]]*Dashboard!$B$8,Won[[#This Row],[SALES CHANNEL]]="NEW BUSINESS",Won[[#This Row],[DEAL SIZE]]*Dashboard!$B$9)</f>
        <v>3127.2020000000002</v>
      </c>
    </row>
    <row r="201" spans="1:11" x14ac:dyDescent="0.3">
      <c r="A201" t="str">
        <f>IF($C201="","",Dashboard!$B$3)</f>
        <v>Kelly</v>
      </c>
      <c r="B201" t="str">
        <f t="shared" si="3"/>
        <v>SEPTEMBER</v>
      </c>
      <c r="C201" t="s">
        <v>195</v>
      </c>
      <c r="D201" s="6">
        <v>18067.009999999998</v>
      </c>
      <c r="E201" t="s">
        <v>13</v>
      </c>
      <c r="F201" s="7">
        <v>1</v>
      </c>
      <c r="G201" s="6">
        <v>18067.009999999998</v>
      </c>
      <c r="H201" t="s">
        <v>36</v>
      </c>
      <c r="I201" s="5">
        <v>45170</v>
      </c>
      <c r="K201" s="6" cm="1">
        <f t="array" ref="K201">_xlfn.IFS(Won[[#This Row],[SALES CHANNEL]]="RENEWAL",Won[[#This Row],[DEAL SIZE]]*Dashboard!$B$7,Won[[#This Row],[SALES CHANNEL]]="AD-HOC",Won[[#This Row],[DEAL SIZE]]*Dashboard!$B$8,Won[[#This Row],[SALES CHANNEL]]="NEW BUSINESS",Won[[#This Row],[DEAL SIZE]]*Dashboard!$B$9)</f>
        <v>3613.402</v>
      </c>
    </row>
    <row r="202" spans="1:11" x14ac:dyDescent="0.3">
      <c r="A202" t="str">
        <f>IF($C202="","",Dashboard!$B$3)</f>
        <v>Kelly</v>
      </c>
      <c r="B202" t="str">
        <f t="shared" si="3"/>
        <v>SEPTEMBER</v>
      </c>
      <c r="C202" t="s">
        <v>198</v>
      </c>
      <c r="D202" s="6">
        <v>17664.02</v>
      </c>
      <c r="E202" t="s">
        <v>13</v>
      </c>
      <c r="F202" s="7">
        <v>1</v>
      </c>
      <c r="G202" s="6">
        <v>17664.02</v>
      </c>
      <c r="H202" t="s">
        <v>28</v>
      </c>
      <c r="I202" s="5">
        <v>45170</v>
      </c>
      <c r="K202" s="6" cm="1">
        <f t="array" ref="K202">_xlfn.IFS(Won[[#This Row],[SALES CHANNEL]]="RENEWAL",Won[[#This Row],[DEAL SIZE]]*Dashboard!$B$7,Won[[#This Row],[SALES CHANNEL]]="AD-HOC",Won[[#This Row],[DEAL SIZE]]*Dashboard!$B$8,Won[[#This Row],[SALES CHANNEL]]="NEW BUSINESS",Won[[#This Row],[DEAL SIZE]]*Dashboard!$B$9)</f>
        <v>883.20100000000002</v>
      </c>
    </row>
    <row r="203" spans="1:11" x14ac:dyDescent="0.3">
      <c r="A203" t="str">
        <f>IF($C203="","",Dashboard!$B$3)</f>
        <v>Kelly</v>
      </c>
      <c r="B203" t="str">
        <f t="shared" si="3"/>
        <v>SEPTEMBER</v>
      </c>
      <c r="C203" t="s">
        <v>200</v>
      </c>
      <c r="D203" s="6">
        <v>8934.86</v>
      </c>
      <c r="E203" t="s">
        <v>13</v>
      </c>
      <c r="F203" s="7">
        <v>1</v>
      </c>
      <c r="G203" s="6">
        <v>8934.86</v>
      </c>
      <c r="H203" t="s">
        <v>36</v>
      </c>
      <c r="I203" s="5">
        <v>45174</v>
      </c>
      <c r="K203" s="6" cm="1">
        <f t="array" ref="K203">_xlfn.IFS(Won[[#This Row],[SALES CHANNEL]]="RENEWAL",Won[[#This Row],[DEAL SIZE]]*Dashboard!$B$7,Won[[#This Row],[SALES CHANNEL]]="AD-HOC",Won[[#This Row],[DEAL SIZE]]*Dashboard!$B$8,Won[[#This Row],[SALES CHANNEL]]="NEW BUSINESS",Won[[#This Row],[DEAL SIZE]]*Dashboard!$B$9)</f>
        <v>1786.9720000000002</v>
      </c>
    </row>
    <row r="204" spans="1:11" x14ac:dyDescent="0.3">
      <c r="A204" t="str">
        <f>IF($C204="","",Dashboard!$B$3)</f>
        <v>Kelly</v>
      </c>
      <c r="B204" t="str">
        <f t="shared" si="3"/>
        <v>SEPTEMBER</v>
      </c>
      <c r="C204" t="s">
        <v>202</v>
      </c>
      <c r="D204" s="6">
        <v>15473.32</v>
      </c>
      <c r="E204" t="s">
        <v>13</v>
      </c>
      <c r="F204" s="7">
        <v>1</v>
      </c>
      <c r="G204" s="6">
        <v>15473.32</v>
      </c>
      <c r="H204" t="s">
        <v>28</v>
      </c>
      <c r="I204" s="5">
        <v>45174</v>
      </c>
      <c r="K204" s="6" cm="1">
        <f t="array" ref="K204">_xlfn.IFS(Won[[#This Row],[SALES CHANNEL]]="RENEWAL",Won[[#This Row],[DEAL SIZE]]*Dashboard!$B$7,Won[[#This Row],[SALES CHANNEL]]="AD-HOC",Won[[#This Row],[DEAL SIZE]]*Dashboard!$B$8,Won[[#This Row],[SALES CHANNEL]]="NEW BUSINESS",Won[[#This Row],[DEAL SIZE]]*Dashboard!$B$9)</f>
        <v>773.66600000000005</v>
      </c>
    </row>
    <row r="205" spans="1:11" x14ac:dyDescent="0.3">
      <c r="A205" t="str">
        <f>IF($C205="","",Dashboard!$B$3)</f>
        <v>Kelly</v>
      </c>
      <c r="B205" t="str">
        <f t="shared" si="3"/>
        <v>SEPTEMBER</v>
      </c>
      <c r="C205" t="s">
        <v>203</v>
      </c>
      <c r="D205" s="6">
        <v>11486.48</v>
      </c>
      <c r="E205" t="s">
        <v>13</v>
      </c>
      <c r="F205" s="7">
        <v>1</v>
      </c>
      <c r="G205" s="6">
        <v>11486.48</v>
      </c>
      <c r="H205" t="s">
        <v>28</v>
      </c>
      <c r="I205" s="5">
        <v>45174</v>
      </c>
      <c r="K205" s="6" cm="1">
        <f t="array" ref="K205">_xlfn.IFS(Won[[#This Row],[SALES CHANNEL]]="RENEWAL",Won[[#This Row],[DEAL SIZE]]*Dashboard!$B$7,Won[[#This Row],[SALES CHANNEL]]="AD-HOC",Won[[#This Row],[DEAL SIZE]]*Dashboard!$B$8,Won[[#This Row],[SALES CHANNEL]]="NEW BUSINESS",Won[[#This Row],[DEAL SIZE]]*Dashboard!$B$9)</f>
        <v>574.32399999999996</v>
      </c>
    </row>
    <row r="206" spans="1:11" x14ac:dyDescent="0.3">
      <c r="A206" t="str">
        <f>IF($C206="","",Dashboard!$B$3)</f>
        <v>Kelly</v>
      </c>
      <c r="B206" t="str">
        <f t="shared" si="3"/>
        <v>SEPTEMBER</v>
      </c>
      <c r="C206" t="s">
        <v>204</v>
      </c>
      <c r="D206" s="6">
        <v>10068.08</v>
      </c>
      <c r="E206" t="s">
        <v>13</v>
      </c>
      <c r="F206" s="7">
        <v>1</v>
      </c>
      <c r="G206" s="6">
        <v>10068.08</v>
      </c>
      <c r="H206" t="s">
        <v>36</v>
      </c>
      <c r="I206" s="5">
        <v>45176</v>
      </c>
      <c r="K206" s="6" cm="1">
        <f t="array" ref="K206">_xlfn.IFS(Won[[#This Row],[SALES CHANNEL]]="RENEWAL",Won[[#This Row],[DEAL SIZE]]*Dashboard!$B$7,Won[[#This Row],[SALES CHANNEL]]="AD-HOC",Won[[#This Row],[DEAL SIZE]]*Dashboard!$B$8,Won[[#This Row],[SALES CHANNEL]]="NEW BUSINESS",Won[[#This Row],[DEAL SIZE]]*Dashboard!$B$9)</f>
        <v>2013.616</v>
      </c>
    </row>
    <row r="207" spans="1:11" x14ac:dyDescent="0.3">
      <c r="A207" t="str">
        <f>IF($C207="","",Dashboard!$B$3)</f>
        <v>Kelly</v>
      </c>
      <c r="B207" t="str">
        <f t="shared" si="3"/>
        <v>SEPTEMBER</v>
      </c>
      <c r="C207" t="s">
        <v>209</v>
      </c>
      <c r="D207" s="6">
        <v>17664.02</v>
      </c>
      <c r="E207" t="s">
        <v>13</v>
      </c>
      <c r="F207" s="7">
        <f t="shared" ref="F207:F214" si="4">IF($E207="","",IF($E207="IDENTIFIED",10%,IF($E207="QUALIFIED",40%,IF($E207="PROPOSAL",75%,100%))))</f>
        <v>1</v>
      </c>
      <c r="G207" s="6">
        <f t="shared" ref="G207:G214" si="5">IF(F207="","",D207*F207)</f>
        <v>17664.02</v>
      </c>
      <c r="H207" t="s">
        <v>28</v>
      </c>
      <c r="I207" s="5">
        <v>45189</v>
      </c>
      <c r="J207" s="1" t="s">
        <v>210</v>
      </c>
      <c r="K207" s="6" cm="1">
        <f t="array" ref="K207">_xlfn.IFS(Won[[#This Row],[SALES CHANNEL]]="RENEWAL",Won[[#This Row],[DEAL SIZE]]*Dashboard!$B$7,Won[[#This Row],[SALES CHANNEL]]="AD-HOC",Won[[#This Row],[DEAL SIZE]]*Dashboard!$B$8,Won[[#This Row],[SALES CHANNEL]]="NEW BUSINESS",Won[[#This Row],[DEAL SIZE]]*Dashboard!$B$9)</f>
        <v>883.20100000000002</v>
      </c>
    </row>
    <row r="208" spans="1:11" x14ac:dyDescent="0.3">
      <c r="A208" t="str">
        <f>IF($C208="","",Dashboard!$B$3)</f>
        <v>Kelly</v>
      </c>
      <c r="B208" t="str">
        <f t="shared" si="3"/>
        <v>SEPTEMBER</v>
      </c>
      <c r="C208" t="s">
        <v>211</v>
      </c>
      <c r="D208" s="6">
        <v>15145.130000000001</v>
      </c>
      <c r="E208" t="s">
        <v>13</v>
      </c>
      <c r="F208" s="7">
        <f t="shared" si="4"/>
        <v>1</v>
      </c>
      <c r="G208" s="6">
        <f t="shared" si="5"/>
        <v>15145.130000000001</v>
      </c>
      <c r="H208" t="s">
        <v>28</v>
      </c>
      <c r="I208" s="5">
        <v>45199</v>
      </c>
      <c r="K208" s="6" cm="1">
        <f t="array" ref="K208">_xlfn.IFS(Won[[#This Row],[SALES CHANNEL]]="RENEWAL",Won[[#This Row],[DEAL SIZE]]*Dashboard!$B$7,Won[[#This Row],[SALES CHANNEL]]="AD-HOC",Won[[#This Row],[DEAL SIZE]]*Dashboard!$B$8,Won[[#This Row],[SALES CHANNEL]]="NEW BUSINESS",Won[[#This Row],[DEAL SIZE]]*Dashboard!$B$9)</f>
        <v>757.25650000000007</v>
      </c>
    </row>
    <row r="209" spans="1:11" x14ac:dyDescent="0.3">
      <c r="A209" t="str">
        <f>IF($C209="","",Dashboard!$B$3)</f>
        <v>Kelly</v>
      </c>
      <c r="B209" t="str">
        <f t="shared" si="3"/>
        <v>SEPTEMBER</v>
      </c>
      <c r="C209" t="s">
        <v>212</v>
      </c>
      <c r="D209" s="6">
        <v>8934.86</v>
      </c>
      <c r="E209" t="s">
        <v>13</v>
      </c>
      <c r="F209" s="7">
        <f t="shared" si="4"/>
        <v>1</v>
      </c>
      <c r="G209" s="6">
        <f t="shared" si="5"/>
        <v>8934.86</v>
      </c>
      <c r="H209" t="s">
        <v>28</v>
      </c>
      <c r="I209" s="5">
        <v>45199</v>
      </c>
      <c r="J209" s="1" t="s">
        <v>213</v>
      </c>
      <c r="K209" s="6" cm="1">
        <f t="array" ref="K209">_xlfn.IFS(Won[[#This Row],[SALES CHANNEL]]="RENEWAL",Won[[#This Row],[DEAL SIZE]]*Dashboard!$B$7,Won[[#This Row],[SALES CHANNEL]]="AD-HOC",Won[[#This Row],[DEAL SIZE]]*Dashboard!$B$8,Won[[#This Row],[SALES CHANNEL]]="NEW BUSINESS",Won[[#This Row],[DEAL SIZE]]*Dashboard!$B$9)</f>
        <v>446.74300000000005</v>
      </c>
    </row>
    <row r="210" spans="1:11" x14ac:dyDescent="0.3">
      <c r="A210" t="str">
        <f>IF($C210="","",Dashboard!$B$3)</f>
        <v>Kelly</v>
      </c>
      <c r="B210" t="str">
        <f t="shared" si="3"/>
        <v>SEPTEMBER</v>
      </c>
      <c r="C210" t="s">
        <v>214</v>
      </c>
      <c r="D210" s="6">
        <v>7243.39</v>
      </c>
      <c r="E210" t="s">
        <v>13</v>
      </c>
      <c r="F210" s="7">
        <f t="shared" si="4"/>
        <v>1</v>
      </c>
      <c r="G210" s="6">
        <f t="shared" si="5"/>
        <v>7243.39</v>
      </c>
      <c r="H210" t="s">
        <v>28</v>
      </c>
      <c r="I210" s="5">
        <v>45199</v>
      </c>
      <c r="K210" s="6" cm="1">
        <f t="array" ref="K210">_xlfn.IFS(Won[[#This Row],[SALES CHANNEL]]="RENEWAL",Won[[#This Row],[DEAL SIZE]]*Dashboard!$B$7,Won[[#This Row],[SALES CHANNEL]]="AD-HOC",Won[[#This Row],[DEAL SIZE]]*Dashboard!$B$8,Won[[#This Row],[SALES CHANNEL]]="NEW BUSINESS",Won[[#This Row],[DEAL SIZE]]*Dashboard!$B$9)</f>
        <v>362.16950000000003</v>
      </c>
    </row>
    <row r="211" spans="1:11" x14ac:dyDescent="0.3">
      <c r="A211" t="str">
        <f>IF($C211="","",Dashboard!$B$3)</f>
        <v>Kelly</v>
      </c>
      <c r="B211" t="str">
        <f t="shared" si="3"/>
        <v>OCTOBER</v>
      </c>
      <c r="C211" t="s">
        <v>219</v>
      </c>
      <c r="D211" s="6">
        <v>20055.310000000001</v>
      </c>
      <c r="E211" t="s">
        <v>13</v>
      </c>
      <c r="F211" s="7">
        <f t="shared" si="4"/>
        <v>1</v>
      </c>
      <c r="G211" s="6">
        <f t="shared" si="5"/>
        <v>20055.310000000001</v>
      </c>
      <c r="H211" t="s">
        <v>28</v>
      </c>
      <c r="I211" s="5">
        <v>45200</v>
      </c>
      <c r="K211" s="6" cm="1">
        <f t="array" ref="K211">_xlfn.IFS(Won[[#This Row],[SALES CHANNEL]]="RENEWAL",Won[[#This Row],[DEAL SIZE]]*Dashboard!$B$7,Won[[#This Row],[SALES CHANNEL]]="AD-HOC",Won[[#This Row],[DEAL SIZE]]*Dashboard!$B$8,Won[[#This Row],[SALES CHANNEL]]="NEW BUSINESS",Won[[#This Row],[DEAL SIZE]]*Dashboard!$B$9)</f>
        <v>1002.7655000000001</v>
      </c>
    </row>
    <row r="212" spans="1:11" x14ac:dyDescent="0.3">
      <c r="A212" t="str">
        <f>IF($C212="","",Dashboard!$B$3)</f>
        <v>Kelly</v>
      </c>
      <c r="B212" t="str">
        <f t="shared" si="3"/>
        <v>OCTOBER</v>
      </c>
      <c r="C212" t="s">
        <v>220</v>
      </c>
      <c r="D212" s="6">
        <v>7689.9350000000004</v>
      </c>
      <c r="E212" t="s">
        <v>13</v>
      </c>
      <c r="F212" s="7">
        <f t="shared" si="4"/>
        <v>1</v>
      </c>
      <c r="G212" s="6">
        <f t="shared" si="5"/>
        <v>7689.9350000000004</v>
      </c>
      <c r="H212" t="s">
        <v>28</v>
      </c>
      <c r="I212" s="5">
        <v>45200</v>
      </c>
      <c r="K212" s="6" cm="1">
        <f t="array" ref="K212">_xlfn.IFS(Won[[#This Row],[SALES CHANNEL]]="RENEWAL",Won[[#This Row],[DEAL SIZE]]*Dashboard!$B$7,Won[[#This Row],[SALES CHANNEL]]="AD-HOC",Won[[#This Row],[DEAL SIZE]]*Dashboard!$B$8,Won[[#This Row],[SALES CHANNEL]]="NEW BUSINESS",Won[[#This Row],[DEAL SIZE]]*Dashboard!$B$9)</f>
        <v>384.49675000000002</v>
      </c>
    </row>
    <row r="213" spans="1:11" x14ac:dyDescent="0.3">
      <c r="A213" t="str">
        <f>IF($C213="","",Dashboard!$B$3)</f>
        <v>Kelly</v>
      </c>
      <c r="B213" t="str">
        <f t="shared" si="3"/>
        <v>OCTOBER</v>
      </c>
      <c r="C213" t="s">
        <v>222</v>
      </c>
      <c r="D213" s="6">
        <v>12806.859999999999</v>
      </c>
      <c r="E213" t="s">
        <v>13</v>
      </c>
      <c r="F213" s="7">
        <f t="shared" si="4"/>
        <v>1</v>
      </c>
      <c r="G213" s="6">
        <f t="shared" si="5"/>
        <v>12806.859999999999</v>
      </c>
      <c r="H213" t="s">
        <v>36</v>
      </c>
      <c r="I213" s="5">
        <v>45200</v>
      </c>
      <c r="J213" s="1" t="s">
        <v>223</v>
      </c>
      <c r="K213" s="6" cm="1">
        <f t="array" ref="K213">_xlfn.IFS(Won[[#This Row],[SALES CHANNEL]]="RENEWAL",Won[[#This Row],[DEAL SIZE]]*Dashboard!$B$7,Won[[#This Row],[SALES CHANNEL]]="AD-HOC",Won[[#This Row],[DEAL SIZE]]*Dashboard!$B$8,Won[[#This Row],[SALES CHANNEL]]="NEW BUSINESS",Won[[#This Row],[DEAL SIZE]]*Dashboard!$B$9)</f>
        <v>2561.3719999999998</v>
      </c>
    </row>
    <row r="214" spans="1:11" x14ac:dyDescent="0.3">
      <c r="A214" t="str">
        <f>IF($C214="","",Dashboard!$B$3)</f>
        <v>Kelly</v>
      </c>
      <c r="B214" t="str">
        <f t="shared" si="3"/>
        <v>OCTOBER</v>
      </c>
      <c r="C214" t="s">
        <v>226</v>
      </c>
      <c r="D214" s="6">
        <v>20810.514999999999</v>
      </c>
      <c r="E214" t="s">
        <v>13</v>
      </c>
      <c r="F214" s="7">
        <f t="shared" si="4"/>
        <v>1</v>
      </c>
      <c r="G214" s="6">
        <f t="shared" si="5"/>
        <v>20810.514999999999</v>
      </c>
      <c r="H214" t="s">
        <v>14</v>
      </c>
      <c r="I214" s="5">
        <v>45200</v>
      </c>
      <c r="K214" s="6" cm="1">
        <f t="array" ref="K214">_xlfn.IFS(Won[[#This Row],[SALES CHANNEL]]="RENEWAL",Won[[#This Row],[DEAL SIZE]]*Dashboard!$B$7,Won[[#This Row],[SALES CHANNEL]]="AD-HOC",Won[[#This Row],[DEAL SIZE]]*Dashboard!$B$8,Won[[#This Row],[SALES CHANNEL]]="NEW BUSINESS",Won[[#This Row],[DEAL SIZE]]*Dashboard!$B$9)</f>
        <v>2081.0515</v>
      </c>
    </row>
  </sheetData>
  <conditionalFormatting sqref="L4:L999">
    <cfRule type="expression" dxfId="12" priority="1">
      <formula>AND($C4&lt;&gt;"",$L4="")</formula>
    </cfRule>
  </conditionalFormatting>
  <dataValidations count="3">
    <dataValidation type="list" allowBlank="1" showInputMessage="1" showErrorMessage="1" sqref="L4:L214" xr:uid="{6BF28E43-238A-4DA2-B17C-EB035BA5BF09}">
      <formula1>"PAID,PENDING,CREDIT HOLD"</formula1>
    </dataValidation>
    <dataValidation type="list" allowBlank="1" showInputMessage="1" showErrorMessage="1" sqref="H207:H214" xr:uid="{08B202FD-8E13-4D38-BF0D-3624F941385E}">
      <formula1>"RENEWAL,AD-HOC,NEW BUSINESS"</formula1>
    </dataValidation>
    <dataValidation type="list" allowBlank="1" showInputMessage="1" showErrorMessage="1" sqref="E207:E214" xr:uid="{2BEBD5B9-0305-47EC-9025-7813C70EF5CE}">
      <formula1>"IDENTIFIED,QUALIFIED,PROPOSAL,WON,LOST"</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76A10-3C55-47FB-9BFD-AF67A582DD86}">
  <sheetPr codeName="Sheet5"/>
  <dimension ref="A1:K244"/>
  <sheetViews>
    <sheetView showGridLines="0" topLeftCell="C1" workbookViewId="0">
      <selection activeCell="B1" sqref="A1:B1048576"/>
    </sheetView>
  </sheetViews>
  <sheetFormatPr defaultRowHeight="14.4" x14ac:dyDescent="0.3"/>
  <cols>
    <col min="1" max="1" width="17.88671875" hidden="1" customWidth="1"/>
    <col min="2" max="2" width="12" hidden="1" customWidth="1"/>
    <col min="3" max="3" width="25.109375" customWidth="1"/>
    <col min="4" max="4" width="13.109375" style="6" customWidth="1"/>
    <col min="5" max="5" width="11.6640625" hidden="1" customWidth="1"/>
    <col min="6" max="6" width="11.6640625" style="14" hidden="1" customWidth="1"/>
    <col min="7" max="7" width="18.6640625" style="6" hidden="1" customWidth="1"/>
    <col min="8" max="8" width="16.5546875" customWidth="1"/>
    <col min="9" max="9" width="22.5546875" style="5" customWidth="1"/>
    <col min="10" max="10" width="35.88671875" style="1" customWidth="1"/>
    <col min="11" max="11" width="13.33203125" customWidth="1"/>
  </cols>
  <sheetData>
    <row r="1" spans="1:11" ht="115.2" customHeight="1" x14ac:dyDescent="0.3"/>
    <row r="3" spans="1:11" x14ac:dyDescent="0.3">
      <c r="A3" s="3" t="s">
        <v>0</v>
      </c>
      <c r="B3" s="3" t="s">
        <v>1</v>
      </c>
      <c r="C3" s="3" t="s">
        <v>2</v>
      </c>
      <c r="D3" s="11" t="s">
        <v>3</v>
      </c>
      <c r="E3" s="3" t="s">
        <v>4</v>
      </c>
      <c r="F3" s="15" t="s">
        <v>5</v>
      </c>
      <c r="G3" s="11" t="s">
        <v>6</v>
      </c>
      <c r="H3" s="3" t="s">
        <v>7</v>
      </c>
      <c r="I3" s="12" t="s">
        <v>8</v>
      </c>
      <c r="J3" s="9" t="s">
        <v>9</v>
      </c>
      <c r="K3" s="3" t="s">
        <v>303</v>
      </c>
    </row>
    <row r="4" spans="1:11" x14ac:dyDescent="0.3">
      <c r="A4" t="str">
        <f>IF($C4="","",Dashboard!$B$3)</f>
        <v>Kelly</v>
      </c>
      <c r="B4" t="str">
        <f>IF($I4="","",UPPER(TEXT($I4,"mmmm")))</f>
        <v>JANUARY</v>
      </c>
      <c r="C4" t="s">
        <v>12</v>
      </c>
      <c r="D4" s="6">
        <v>14965</v>
      </c>
      <c r="H4" t="s">
        <v>14</v>
      </c>
      <c r="I4" s="5">
        <v>44927</v>
      </c>
      <c r="K4" t="s">
        <v>344</v>
      </c>
    </row>
    <row r="5" spans="1:11" x14ac:dyDescent="0.3">
      <c r="A5" t="str">
        <f>IF($C5="","",Dashboard!$B$3)</f>
        <v>Kelly</v>
      </c>
      <c r="B5" t="str">
        <f t="shared" ref="B5:B68" si="0">IF($I5="","",UPPER(TEXT($I5,"mmmm")))</f>
        <v>JANUARY</v>
      </c>
      <c r="C5" t="s">
        <v>16</v>
      </c>
      <c r="D5" s="6">
        <v>16549</v>
      </c>
      <c r="H5" t="s">
        <v>14</v>
      </c>
      <c r="I5" s="5">
        <v>44927</v>
      </c>
      <c r="K5" t="s">
        <v>344</v>
      </c>
    </row>
    <row r="6" spans="1:11" x14ac:dyDescent="0.3">
      <c r="A6" t="str">
        <f>IF($C6="","",Dashboard!$B$3)</f>
        <v>Kelly</v>
      </c>
      <c r="B6" t="str">
        <f t="shared" si="0"/>
        <v>JANUARY</v>
      </c>
      <c r="C6" t="s">
        <v>18</v>
      </c>
      <c r="D6" s="6">
        <v>12285</v>
      </c>
      <c r="H6" t="s">
        <v>14</v>
      </c>
      <c r="I6" s="5">
        <v>44927</v>
      </c>
      <c r="K6" t="s">
        <v>345</v>
      </c>
    </row>
    <row r="7" spans="1:11" x14ac:dyDescent="0.3">
      <c r="A7" t="str">
        <f>IF($C7="","",Dashboard!$B$3)</f>
        <v>Kelly</v>
      </c>
      <c r="B7" t="str">
        <f t="shared" si="0"/>
        <v>JANUARY</v>
      </c>
      <c r="C7" t="s">
        <v>19</v>
      </c>
      <c r="D7" s="6">
        <v>10768</v>
      </c>
      <c r="H7" t="s">
        <v>14</v>
      </c>
      <c r="I7" s="5">
        <v>44927</v>
      </c>
    </row>
    <row r="8" spans="1:11" x14ac:dyDescent="0.3">
      <c r="A8" t="str">
        <f>IF($C8="","",Dashboard!$B$3)</f>
        <v>Kelly</v>
      </c>
      <c r="B8" t="str">
        <f t="shared" si="0"/>
        <v>JANUARY</v>
      </c>
      <c r="C8" t="s">
        <v>20</v>
      </c>
      <c r="D8" s="6">
        <v>15822</v>
      </c>
      <c r="H8" t="s">
        <v>14</v>
      </c>
      <c r="I8" s="5">
        <v>44927</v>
      </c>
    </row>
    <row r="9" spans="1:11" x14ac:dyDescent="0.3">
      <c r="A9" t="str">
        <f>IF($C9="","",Dashboard!$B$3)</f>
        <v>Kelly</v>
      </c>
      <c r="B9" t="str">
        <f t="shared" si="0"/>
        <v>JANUARY</v>
      </c>
      <c r="C9" t="s">
        <v>23</v>
      </c>
      <c r="D9" s="6">
        <v>16723</v>
      </c>
      <c r="H9" t="s">
        <v>14</v>
      </c>
      <c r="I9" s="5">
        <v>44927</v>
      </c>
    </row>
    <row r="10" spans="1:11" x14ac:dyDescent="0.3">
      <c r="A10" t="str">
        <f>IF($C10="","",Dashboard!$B$3)</f>
        <v>Kelly</v>
      </c>
      <c r="B10" t="str">
        <f t="shared" si="0"/>
        <v>JANUARY</v>
      </c>
      <c r="C10" t="s">
        <v>25</v>
      </c>
      <c r="D10" s="6">
        <v>30000</v>
      </c>
      <c r="H10" t="s">
        <v>14</v>
      </c>
      <c r="I10" s="5">
        <v>44927</v>
      </c>
    </row>
    <row r="11" spans="1:11" x14ac:dyDescent="0.3">
      <c r="A11" t="str">
        <f>IF($C11="","",Dashboard!$B$3)</f>
        <v>Kelly</v>
      </c>
      <c r="B11" t="str">
        <f t="shared" si="0"/>
        <v>JANUARY</v>
      </c>
      <c r="C11" t="s">
        <v>27</v>
      </c>
      <c r="D11" s="6">
        <v>15344</v>
      </c>
      <c r="H11" t="s">
        <v>28</v>
      </c>
      <c r="I11" s="5">
        <v>44927</v>
      </c>
    </row>
    <row r="12" spans="1:11" x14ac:dyDescent="0.3">
      <c r="A12" t="str">
        <f>IF($C12="","",Dashboard!$B$3)</f>
        <v>Kelly</v>
      </c>
      <c r="B12" t="str">
        <f t="shared" si="0"/>
        <v>JANUARY</v>
      </c>
      <c r="C12" t="s">
        <v>29</v>
      </c>
      <c r="D12" s="6">
        <v>19134</v>
      </c>
      <c r="H12" t="s">
        <v>28</v>
      </c>
      <c r="I12" s="5">
        <v>44934</v>
      </c>
    </row>
    <row r="13" spans="1:11" x14ac:dyDescent="0.3">
      <c r="A13" t="str">
        <f>IF($C13="","",Dashboard!$B$3)</f>
        <v>Kelly</v>
      </c>
      <c r="B13" t="str">
        <f t="shared" si="0"/>
        <v>JANUARY</v>
      </c>
      <c r="C13" t="s">
        <v>31</v>
      </c>
      <c r="D13" s="6">
        <v>20000</v>
      </c>
      <c r="H13" t="s">
        <v>28</v>
      </c>
      <c r="I13" s="5">
        <v>44934</v>
      </c>
    </row>
    <row r="14" spans="1:11" x14ac:dyDescent="0.3">
      <c r="A14" t="str">
        <f>IF($C14="","",Dashboard!$B$3)</f>
        <v>Kelly</v>
      </c>
      <c r="B14" t="str">
        <f t="shared" si="0"/>
        <v>JANUARY</v>
      </c>
      <c r="C14" t="s">
        <v>33</v>
      </c>
      <c r="D14" s="6">
        <v>18892</v>
      </c>
      <c r="H14" t="s">
        <v>14</v>
      </c>
      <c r="I14" s="5">
        <v>44935</v>
      </c>
    </row>
    <row r="15" spans="1:11" x14ac:dyDescent="0.3">
      <c r="A15" t="str">
        <f>IF($C15="","",Dashboard!$B$3)</f>
        <v>Kelly</v>
      </c>
      <c r="B15" t="str">
        <f t="shared" si="0"/>
        <v>JANUARY</v>
      </c>
      <c r="C15" t="s">
        <v>34</v>
      </c>
      <c r="D15" s="6">
        <v>16198</v>
      </c>
      <c r="H15" t="s">
        <v>14</v>
      </c>
      <c r="I15" s="5">
        <v>44938</v>
      </c>
    </row>
    <row r="16" spans="1:11" x14ac:dyDescent="0.3">
      <c r="A16" t="str">
        <f>IF($C16="","",Dashboard!$B$3)</f>
        <v>Kelly</v>
      </c>
      <c r="B16" t="str">
        <f t="shared" si="0"/>
        <v>JANUARY</v>
      </c>
      <c r="C16" t="s">
        <v>35</v>
      </c>
      <c r="D16" s="6">
        <v>9556</v>
      </c>
      <c r="H16" t="s">
        <v>36</v>
      </c>
      <c r="I16" s="5">
        <v>44938</v>
      </c>
    </row>
    <row r="17" spans="1:9" x14ac:dyDescent="0.3">
      <c r="A17" t="str">
        <f>IF($C17="","",Dashboard!$B$3)</f>
        <v>Kelly</v>
      </c>
      <c r="B17" t="str">
        <f t="shared" si="0"/>
        <v>JANUARY</v>
      </c>
      <c r="C17" t="s">
        <v>37</v>
      </c>
      <c r="D17" s="6">
        <v>8317</v>
      </c>
      <c r="H17" t="s">
        <v>36</v>
      </c>
      <c r="I17" s="5">
        <v>44938</v>
      </c>
    </row>
    <row r="18" spans="1:9" x14ac:dyDescent="0.3">
      <c r="A18" t="str">
        <f>IF($C18="","",Dashboard!$B$3)</f>
        <v>Kelly</v>
      </c>
      <c r="B18" t="str">
        <f t="shared" si="0"/>
        <v>JANUARY</v>
      </c>
      <c r="C18" t="s">
        <v>38</v>
      </c>
      <c r="D18" s="6">
        <v>5388</v>
      </c>
      <c r="H18" t="s">
        <v>14</v>
      </c>
      <c r="I18" s="5">
        <v>44941</v>
      </c>
    </row>
    <row r="19" spans="1:9" x14ac:dyDescent="0.3">
      <c r="A19" t="str">
        <f>IF($C19="","",Dashboard!$B$3)</f>
        <v>Kelly</v>
      </c>
      <c r="B19" t="str">
        <f t="shared" si="0"/>
        <v>JANUARY</v>
      </c>
      <c r="C19" t="s">
        <v>39</v>
      </c>
      <c r="D19" s="6">
        <v>9709</v>
      </c>
      <c r="H19" t="s">
        <v>28</v>
      </c>
      <c r="I19" s="5">
        <v>44941</v>
      </c>
    </row>
    <row r="20" spans="1:9" x14ac:dyDescent="0.3">
      <c r="A20" t="str">
        <f>IF($C20="","",Dashboard!$B$3)</f>
        <v>Kelly</v>
      </c>
      <c r="B20" t="str">
        <f t="shared" si="0"/>
        <v>JANUARY</v>
      </c>
      <c r="C20" t="s">
        <v>40</v>
      </c>
      <c r="D20" s="6">
        <v>17174</v>
      </c>
      <c r="H20" t="s">
        <v>28</v>
      </c>
      <c r="I20" s="5">
        <v>44941</v>
      </c>
    </row>
    <row r="21" spans="1:9" x14ac:dyDescent="0.3">
      <c r="A21" t="str">
        <f>IF($C21="","",Dashboard!$B$3)</f>
        <v>Kelly</v>
      </c>
      <c r="B21" t="str">
        <f t="shared" si="0"/>
        <v>JANUARY</v>
      </c>
      <c r="C21" t="s">
        <v>41</v>
      </c>
      <c r="D21" s="6">
        <v>11616</v>
      </c>
      <c r="H21" t="s">
        <v>36</v>
      </c>
      <c r="I21" s="5">
        <v>44941</v>
      </c>
    </row>
    <row r="22" spans="1:9" x14ac:dyDescent="0.3">
      <c r="A22" t="str">
        <f>IF($C22="","",Dashboard!$B$3)</f>
        <v>Kelly</v>
      </c>
      <c r="B22" t="str">
        <f t="shared" si="0"/>
        <v>JANUARY</v>
      </c>
      <c r="C22" t="s">
        <v>41</v>
      </c>
      <c r="D22" s="6">
        <v>10043</v>
      </c>
      <c r="H22" t="s">
        <v>14</v>
      </c>
      <c r="I22" s="5">
        <v>44941</v>
      </c>
    </row>
    <row r="23" spans="1:9" x14ac:dyDescent="0.3">
      <c r="A23" t="str">
        <f>IF($C23="","",Dashboard!$B$3)</f>
        <v>Kelly</v>
      </c>
      <c r="B23" t="str">
        <f t="shared" si="0"/>
        <v>JANUARY</v>
      </c>
      <c r="C23" t="s">
        <v>43</v>
      </c>
      <c r="D23" s="6">
        <v>16225</v>
      </c>
      <c r="H23" t="s">
        <v>28</v>
      </c>
      <c r="I23" s="5">
        <v>44941</v>
      </c>
    </row>
    <row r="24" spans="1:9" x14ac:dyDescent="0.3">
      <c r="A24" t="str">
        <f>IF($C24="","",Dashboard!$B$3)</f>
        <v>Kelly</v>
      </c>
      <c r="B24" t="str">
        <f t="shared" si="0"/>
        <v>JANUARY</v>
      </c>
      <c r="C24" t="s">
        <v>44</v>
      </c>
      <c r="D24" s="6">
        <v>14216</v>
      </c>
      <c r="H24" t="s">
        <v>28</v>
      </c>
      <c r="I24" s="5">
        <v>44946</v>
      </c>
    </row>
    <row r="25" spans="1:9" x14ac:dyDescent="0.3">
      <c r="A25" t="str">
        <f>IF($C25="","",Dashboard!$B$3)</f>
        <v>Kelly</v>
      </c>
      <c r="B25" t="str">
        <f t="shared" si="0"/>
        <v>JANUARY</v>
      </c>
      <c r="C25" t="s">
        <v>45</v>
      </c>
      <c r="D25" s="6">
        <v>18851</v>
      </c>
      <c r="H25" t="s">
        <v>28</v>
      </c>
      <c r="I25" s="5">
        <v>44946</v>
      </c>
    </row>
    <row r="26" spans="1:9" x14ac:dyDescent="0.3">
      <c r="A26" t="str">
        <f>IF($C26="","",Dashboard!$B$3)</f>
        <v>Kelly</v>
      </c>
      <c r="B26" t="str">
        <f t="shared" si="0"/>
        <v>JANUARY</v>
      </c>
      <c r="C26" t="s">
        <v>46</v>
      </c>
      <c r="D26" s="6">
        <v>5538</v>
      </c>
      <c r="H26" t="s">
        <v>36</v>
      </c>
      <c r="I26" s="5">
        <v>44946</v>
      </c>
    </row>
    <row r="27" spans="1:9" x14ac:dyDescent="0.3">
      <c r="A27" t="str">
        <f>IF($C27="","",Dashboard!$B$3)</f>
        <v>Kelly</v>
      </c>
      <c r="B27" t="str">
        <f t="shared" si="0"/>
        <v>JANUARY</v>
      </c>
      <c r="C27" t="s">
        <v>47</v>
      </c>
      <c r="D27" s="6">
        <v>17754</v>
      </c>
      <c r="H27" t="s">
        <v>28</v>
      </c>
      <c r="I27" s="5">
        <v>44949</v>
      </c>
    </row>
    <row r="28" spans="1:9" x14ac:dyDescent="0.3">
      <c r="A28" t="str">
        <f>IF($C28="","",Dashboard!$B$3)</f>
        <v>Kelly</v>
      </c>
      <c r="B28" t="str">
        <f t="shared" si="0"/>
        <v>JANUARY</v>
      </c>
      <c r="C28" t="s">
        <v>48</v>
      </c>
      <c r="D28" s="6">
        <v>16581</v>
      </c>
      <c r="H28" t="s">
        <v>28</v>
      </c>
      <c r="I28" s="5">
        <v>44951</v>
      </c>
    </row>
    <row r="29" spans="1:9" x14ac:dyDescent="0.3">
      <c r="A29" t="str">
        <f>IF($C29="","",Dashboard!$B$3)</f>
        <v>Kelly</v>
      </c>
      <c r="B29" t="str">
        <f t="shared" si="0"/>
        <v>JANUARY</v>
      </c>
      <c r="C29" t="s">
        <v>49</v>
      </c>
      <c r="D29" s="6">
        <v>11846</v>
      </c>
      <c r="H29" t="s">
        <v>36</v>
      </c>
      <c r="I29" s="5">
        <v>44951</v>
      </c>
    </row>
    <row r="30" spans="1:9" x14ac:dyDescent="0.3">
      <c r="A30" t="str">
        <f>IF($C30="","",Dashboard!$B$3)</f>
        <v>Kelly</v>
      </c>
      <c r="B30" t="str">
        <f t="shared" si="0"/>
        <v>JANUARY</v>
      </c>
      <c r="C30" t="s">
        <v>50</v>
      </c>
      <c r="D30" s="6">
        <v>5849</v>
      </c>
      <c r="H30" t="s">
        <v>28</v>
      </c>
      <c r="I30" s="5">
        <v>44956</v>
      </c>
    </row>
    <row r="31" spans="1:9" x14ac:dyDescent="0.3">
      <c r="A31" t="str">
        <f>IF($C31="","",Dashboard!$B$3)</f>
        <v>Kelly</v>
      </c>
      <c r="B31" t="str">
        <f t="shared" si="0"/>
        <v>JANUARY</v>
      </c>
      <c r="C31" t="s">
        <v>51</v>
      </c>
      <c r="D31" s="6">
        <v>9793</v>
      </c>
      <c r="H31" t="s">
        <v>28</v>
      </c>
      <c r="I31" s="5">
        <v>44956</v>
      </c>
    </row>
    <row r="32" spans="1:9" x14ac:dyDescent="0.3">
      <c r="A32" t="str">
        <f>IF($C32="","",Dashboard!$B$3)</f>
        <v>Kelly</v>
      </c>
      <c r="B32" t="str">
        <f t="shared" si="0"/>
        <v>JANUARY</v>
      </c>
      <c r="C32" t="s">
        <v>52</v>
      </c>
      <c r="D32" s="6">
        <v>5640</v>
      </c>
      <c r="H32" t="s">
        <v>28</v>
      </c>
      <c r="I32" s="5">
        <v>44956</v>
      </c>
    </row>
    <row r="33" spans="1:9" x14ac:dyDescent="0.3">
      <c r="A33" t="str">
        <f>IF($C33="","",Dashboard!$B$3)</f>
        <v>Kelly</v>
      </c>
      <c r="B33" t="str">
        <f t="shared" si="0"/>
        <v>JANUARY</v>
      </c>
      <c r="C33" t="s">
        <v>53</v>
      </c>
      <c r="D33" s="6">
        <v>9100</v>
      </c>
      <c r="H33" t="s">
        <v>36</v>
      </c>
      <c r="I33" s="5">
        <v>44956</v>
      </c>
    </row>
    <row r="34" spans="1:9" x14ac:dyDescent="0.3">
      <c r="A34" t="str">
        <f>IF($C34="","",Dashboard!$B$3)</f>
        <v>Kelly</v>
      </c>
      <c r="B34" t="str">
        <f t="shared" si="0"/>
        <v>JANUARY</v>
      </c>
      <c r="C34" t="s">
        <v>54</v>
      </c>
      <c r="D34" s="6">
        <v>5726</v>
      </c>
      <c r="H34" t="s">
        <v>28</v>
      </c>
      <c r="I34" s="5">
        <v>44956</v>
      </c>
    </row>
    <row r="35" spans="1:9" x14ac:dyDescent="0.3">
      <c r="A35" t="str">
        <f>IF($C35="","",Dashboard!$B$3)</f>
        <v>Kelly</v>
      </c>
      <c r="B35" t="str">
        <f t="shared" si="0"/>
        <v>FEBRUARY</v>
      </c>
      <c r="C35" t="s">
        <v>56</v>
      </c>
      <c r="D35" s="6">
        <v>9639</v>
      </c>
      <c r="H35" t="s">
        <v>14</v>
      </c>
      <c r="I35" s="5">
        <v>44958</v>
      </c>
    </row>
    <row r="36" spans="1:9" x14ac:dyDescent="0.3">
      <c r="A36" t="str">
        <f>IF($C36="","",Dashboard!$B$3)</f>
        <v>Kelly</v>
      </c>
      <c r="B36" t="str">
        <f t="shared" si="0"/>
        <v>FEBRUARY</v>
      </c>
      <c r="C36" t="s">
        <v>57</v>
      </c>
      <c r="D36" s="6">
        <v>12669</v>
      </c>
      <c r="H36" t="s">
        <v>36</v>
      </c>
      <c r="I36" s="5">
        <v>44958</v>
      </c>
    </row>
    <row r="37" spans="1:9" x14ac:dyDescent="0.3">
      <c r="A37" t="str">
        <f>IF($C37="","",Dashboard!$B$3)</f>
        <v>Kelly</v>
      </c>
      <c r="B37" t="str">
        <f t="shared" si="0"/>
        <v>FEBRUARY</v>
      </c>
      <c r="C37" t="s">
        <v>58</v>
      </c>
      <c r="D37" s="6">
        <v>8252</v>
      </c>
      <c r="H37" t="s">
        <v>36</v>
      </c>
      <c r="I37" s="5">
        <v>44958</v>
      </c>
    </row>
    <row r="38" spans="1:9" x14ac:dyDescent="0.3">
      <c r="A38" t="str">
        <f>IF($C38="","",Dashboard!$B$3)</f>
        <v>Kelly</v>
      </c>
      <c r="B38" t="str">
        <f t="shared" si="0"/>
        <v>FEBRUARY</v>
      </c>
      <c r="C38" t="s">
        <v>60</v>
      </c>
      <c r="D38" s="6">
        <v>15854</v>
      </c>
      <c r="H38" t="s">
        <v>36</v>
      </c>
      <c r="I38" s="5">
        <v>44958</v>
      </c>
    </row>
    <row r="39" spans="1:9" x14ac:dyDescent="0.3">
      <c r="A39" t="str">
        <f>IF($C39="","",Dashboard!$B$3)</f>
        <v>Kelly</v>
      </c>
      <c r="B39" t="str">
        <f t="shared" si="0"/>
        <v>FEBRUARY</v>
      </c>
      <c r="C39" t="s">
        <v>61</v>
      </c>
      <c r="D39" s="6">
        <v>6079</v>
      </c>
      <c r="H39" t="s">
        <v>28</v>
      </c>
      <c r="I39" s="5">
        <v>44962</v>
      </c>
    </row>
    <row r="40" spans="1:9" x14ac:dyDescent="0.3">
      <c r="A40" t="str">
        <f>IF($C40="","",Dashboard!$B$3)</f>
        <v>Kelly</v>
      </c>
      <c r="B40" t="str">
        <f t="shared" si="0"/>
        <v>FEBRUARY</v>
      </c>
      <c r="C40" t="s">
        <v>62</v>
      </c>
      <c r="D40" s="6">
        <v>14914</v>
      </c>
      <c r="H40" t="s">
        <v>28</v>
      </c>
      <c r="I40" s="5">
        <v>44962</v>
      </c>
    </row>
    <row r="41" spans="1:9" x14ac:dyDescent="0.3">
      <c r="A41" t="str">
        <f>IF($C41="","",Dashboard!$B$3)</f>
        <v>Kelly</v>
      </c>
      <c r="B41" t="str">
        <f t="shared" si="0"/>
        <v>FEBRUARY</v>
      </c>
      <c r="C41" t="s">
        <v>64</v>
      </c>
      <c r="D41" s="6">
        <v>10124</v>
      </c>
      <c r="H41" t="s">
        <v>28</v>
      </c>
      <c r="I41" s="5">
        <v>44967</v>
      </c>
    </row>
    <row r="42" spans="1:9" x14ac:dyDescent="0.3">
      <c r="A42" t="str">
        <f>IF($C42="","",Dashboard!$B$3)</f>
        <v>Kelly</v>
      </c>
      <c r="B42" t="str">
        <f t="shared" si="0"/>
        <v>FEBRUARY</v>
      </c>
      <c r="C42" t="s">
        <v>65</v>
      </c>
      <c r="D42" s="6">
        <v>9552</v>
      </c>
      <c r="H42" t="s">
        <v>36</v>
      </c>
      <c r="I42" s="5">
        <v>44969</v>
      </c>
    </row>
    <row r="43" spans="1:9" x14ac:dyDescent="0.3">
      <c r="A43" t="str">
        <f>IF($C43="","",Dashboard!$B$3)</f>
        <v>Kelly</v>
      </c>
      <c r="B43" t="str">
        <f t="shared" si="0"/>
        <v>FEBRUARY</v>
      </c>
      <c r="C43" t="s">
        <v>66</v>
      </c>
      <c r="D43" s="6">
        <v>16451</v>
      </c>
      <c r="H43" t="s">
        <v>28</v>
      </c>
      <c r="I43" s="5">
        <v>44969</v>
      </c>
    </row>
    <row r="44" spans="1:9" x14ac:dyDescent="0.3">
      <c r="A44" t="str">
        <f>IF($C44="","",Dashboard!$B$3)</f>
        <v>Kelly</v>
      </c>
      <c r="B44" t="str">
        <f t="shared" si="0"/>
        <v>FEBRUARY</v>
      </c>
      <c r="C44" t="s">
        <v>67</v>
      </c>
      <c r="D44" s="6">
        <v>7813</v>
      </c>
      <c r="H44" t="s">
        <v>28</v>
      </c>
      <c r="I44" s="5">
        <v>44972</v>
      </c>
    </row>
    <row r="45" spans="1:9" x14ac:dyDescent="0.3">
      <c r="A45" t="str">
        <f>IF($C45="","",Dashboard!$B$3)</f>
        <v>Kelly</v>
      </c>
      <c r="B45" t="str">
        <f t="shared" si="0"/>
        <v>FEBRUARY</v>
      </c>
      <c r="C45" t="s">
        <v>68</v>
      </c>
      <c r="D45" s="6">
        <v>11162</v>
      </c>
      <c r="H45" t="s">
        <v>28</v>
      </c>
      <c r="I45" s="5">
        <v>44972</v>
      </c>
    </row>
    <row r="46" spans="1:9" x14ac:dyDescent="0.3">
      <c r="A46" t="str">
        <f>IF($C46="","",Dashboard!$B$3)</f>
        <v>Kelly</v>
      </c>
      <c r="B46" t="str">
        <f t="shared" si="0"/>
        <v>FEBRUARY</v>
      </c>
      <c r="C46" t="s">
        <v>69</v>
      </c>
      <c r="D46" s="6">
        <v>10232</v>
      </c>
      <c r="H46" t="s">
        <v>36</v>
      </c>
      <c r="I46" s="5">
        <v>44972</v>
      </c>
    </row>
    <row r="47" spans="1:9" x14ac:dyDescent="0.3">
      <c r="A47" t="str">
        <f>IF($C47="","",Dashboard!$B$3)</f>
        <v>Kelly</v>
      </c>
      <c r="B47" t="str">
        <f t="shared" si="0"/>
        <v>FEBRUARY</v>
      </c>
      <c r="C47" t="s">
        <v>70</v>
      </c>
      <c r="D47" s="6">
        <v>10144</v>
      </c>
      <c r="H47" t="s">
        <v>36</v>
      </c>
      <c r="I47" s="5">
        <v>44972</v>
      </c>
    </row>
    <row r="48" spans="1:9" x14ac:dyDescent="0.3">
      <c r="A48" t="str">
        <f>IF($C48="","",Dashboard!$B$3)</f>
        <v>Kelly</v>
      </c>
      <c r="B48" t="str">
        <f t="shared" si="0"/>
        <v>FEBRUARY</v>
      </c>
      <c r="C48" t="s">
        <v>71</v>
      </c>
      <c r="D48" s="6">
        <v>12920</v>
      </c>
      <c r="H48" t="s">
        <v>28</v>
      </c>
      <c r="I48" s="5">
        <v>44975</v>
      </c>
    </row>
    <row r="49" spans="1:9" x14ac:dyDescent="0.3">
      <c r="A49" t="str">
        <f>IF($C49="","",Dashboard!$B$3)</f>
        <v>Kelly</v>
      </c>
      <c r="B49" t="str">
        <f t="shared" si="0"/>
        <v>FEBRUARY</v>
      </c>
      <c r="C49" t="s">
        <v>72</v>
      </c>
      <c r="D49" s="6">
        <v>11319</v>
      </c>
      <c r="H49" t="s">
        <v>28</v>
      </c>
      <c r="I49" s="5">
        <v>44975</v>
      </c>
    </row>
    <row r="50" spans="1:9" x14ac:dyDescent="0.3">
      <c r="A50" t="str">
        <f>IF($C50="","",Dashboard!$B$3)</f>
        <v>Kelly</v>
      </c>
      <c r="B50" t="str">
        <f t="shared" si="0"/>
        <v>FEBRUARY</v>
      </c>
      <c r="C50" t="s">
        <v>57</v>
      </c>
      <c r="D50" s="6">
        <v>17445</v>
      </c>
      <c r="H50" t="s">
        <v>36</v>
      </c>
      <c r="I50" s="5">
        <v>44975</v>
      </c>
    </row>
    <row r="51" spans="1:9" x14ac:dyDescent="0.3">
      <c r="A51" t="str">
        <f>IF($C51="","",Dashboard!$B$3)</f>
        <v>Kelly</v>
      </c>
      <c r="B51" t="str">
        <f t="shared" si="0"/>
        <v>FEBRUARY</v>
      </c>
      <c r="C51" t="s">
        <v>73</v>
      </c>
      <c r="D51" s="6">
        <v>5244</v>
      </c>
      <c r="H51" t="s">
        <v>36</v>
      </c>
      <c r="I51" s="5">
        <v>44975</v>
      </c>
    </row>
    <row r="52" spans="1:9" x14ac:dyDescent="0.3">
      <c r="A52" t="str">
        <f>IF($C52="","",Dashboard!$B$3)</f>
        <v>Kelly</v>
      </c>
      <c r="B52" t="str">
        <f t="shared" si="0"/>
        <v>FEBRUARY</v>
      </c>
      <c r="C52" t="s">
        <v>74</v>
      </c>
      <c r="D52" s="6">
        <v>9648</v>
      </c>
      <c r="H52" t="s">
        <v>14</v>
      </c>
      <c r="I52" s="5">
        <v>44975</v>
      </c>
    </row>
    <row r="53" spans="1:9" x14ac:dyDescent="0.3">
      <c r="A53" t="str">
        <f>IF($C53="","",Dashboard!$B$3)</f>
        <v>Kelly</v>
      </c>
      <c r="B53" t="str">
        <f t="shared" si="0"/>
        <v>FEBRUARY</v>
      </c>
      <c r="C53" t="s">
        <v>75</v>
      </c>
      <c r="D53" s="6">
        <v>11189</v>
      </c>
      <c r="H53" t="s">
        <v>14</v>
      </c>
      <c r="I53" s="5">
        <v>44976</v>
      </c>
    </row>
    <row r="54" spans="1:9" x14ac:dyDescent="0.3">
      <c r="A54" t="str">
        <f>IF($C54="","",Dashboard!$B$3)</f>
        <v>Kelly</v>
      </c>
      <c r="B54" t="str">
        <f t="shared" si="0"/>
        <v>FEBRUARY</v>
      </c>
      <c r="C54" t="s">
        <v>76</v>
      </c>
      <c r="D54" s="6">
        <v>14746</v>
      </c>
      <c r="H54" t="s">
        <v>14</v>
      </c>
      <c r="I54" s="5">
        <v>44977</v>
      </c>
    </row>
    <row r="55" spans="1:9" x14ac:dyDescent="0.3">
      <c r="A55" t="str">
        <f>IF($C55="","",Dashboard!$B$3)</f>
        <v>Kelly</v>
      </c>
      <c r="B55" t="str">
        <f t="shared" si="0"/>
        <v>FEBRUARY</v>
      </c>
      <c r="C55" t="s">
        <v>77</v>
      </c>
      <c r="D55" s="6">
        <v>16549</v>
      </c>
      <c r="H55" t="s">
        <v>28</v>
      </c>
      <c r="I55" s="5">
        <v>44982</v>
      </c>
    </row>
    <row r="56" spans="1:9" x14ac:dyDescent="0.3">
      <c r="A56" t="str">
        <f>IF($C56="","",Dashboard!$B$3)</f>
        <v>Kelly</v>
      </c>
      <c r="B56" t="str">
        <f t="shared" si="0"/>
        <v>FEBRUARY</v>
      </c>
      <c r="C56" t="s">
        <v>78</v>
      </c>
      <c r="D56" s="6">
        <v>12285</v>
      </c>
      <c r="H56" t="s">
        <v>28</v>
      </c>
      <c r="I56" s="5">
        <v>44982</v>
      </c>
    </row>
    <row r="57" spans="1:9" x14ac:dyDescent="0.3">
      <c r="A57" t="str">
        <f>IF($C57="","",Dashboard!$B$3)</f>
        <v>Kelly</v>
      </c>
      <c r="B57" t="str">
        <f t="shared" si="0"/>
        <v>FEBRUARY</v>
      </c>
      <c r="C57" t="s">
        <v>79</v>
      </c>
      <c r="D57" s="6">
        <v>10768</v>
      </c>
      <c r="H57" t="s">
        <v>28</v>
      </c>
      <c r="I57" s="5">
        <v>44985</v>
      </c>
    </row>
    <row r="58" spans="1:9" x14ac:dyDescent="0.3">
      <c r="A58" t="str">
        <f>IF($C58="","",Dashboard!$B$3)</f>
        <v>Kelly</v>
      </c>
      <c r="B58" t="str">
        <f t="shared" si="0"/>
        <v>MARCH</v>
      </c>
      <c r="C58" t="s">
        <v>81</v>
      </c>
      <c r="D58" s="6">
        <v>15822</v>
      </c>
      <c r="H58" t="s">
        <v>28</v>
      </c>
      <c r="I58" s="5">
        <v>44986</v>
      </c>
    </row>
    <row r="59" spans="1:9" x14ac:dyDescent="0.3">
      <c r="A59" t="str">
        <f>IF($C59="","",Dashboard!$B$3)</f>
        <v>Kelly</v>
      </c>
      <c r="B59" t="str">
        <f t="shared" si="0"/>
        <v>MARCH</v>
      </c>
      <c r="C59" t="s">
        <v>82</v>
      </c>
      <c r="D59" s="6">
        <v>16723</v>
      </c>
      <c r="H59" t="s">
        <v>28</v>
      </c>
      <c r="I59" s="5">
        <v>44990</v>
      </c>
    </row>
    <row r="60" spans="1:9" x14ac:dyDescent="0.3">
      <c r="A60" t="str">
        <f>IF($C60="","",Dashboard!$B$3)</f>
        <v>Kelly</v>
      </c>
      <c r="B60" t="str">
        <f t="shared" si="0"/>
        <v>MARCH</v>
      </c>
      <c r="C60" t="s">
        <v>83</v>
      </c>
      <c r="D60" s="6">
        <v>19323</v>
      </c>
      <c r="H60" t="s">
        <v>28</v>
      </c>
      <c r="I60" s="5">
        <v>44990</v>
      </c>
    </row>
    <row r="61" spans="1:9" x14ac:dyDescent="0.3">
      <c r="A61" t="str">
        <f>IF($C61="","",Dashboard!$B$3)</f>
        <v>Kelly</v>
      </c>
      <c r="B61" t="str">
        <f t="shared" si="0"/>
        <v>MARCH</v>
      </c>
      <c r="C61" t="s">
        <v>84</v>
      </c>
      <c r="D61" s="6">
        <v>15344</v>
      </c>
      <c r="H61" t="s">
        <v>36</v>
      </c>
      <c r="I61" s="5">
        <v>44990</v>
      </c>
    </row>
    <row r="62" spans="1:9" x14ac:dyDescent="0.3">
      <c r="A62" t="str">
        <f>IF($C62="","",Dashboard!$B$3)</f>
        <v>Kelly</v>
      </c>
      <c r="B62" t="str">
        <f t="shared" si="0"/>
        <v>MARCH</v>
      </c>
      <c r="C62" t="s">
        <v>85</v>
      </c>
      <c r="D62" s="6">
        <v>19134</v>
      </c>
      <c r="H62" t="s">
        <v>14</v>
      </c>
      <c r="I62" s="5">
        <v>44990</v>
      </c>
    </row>
    <row r="63" spans="1:9" x14ac:dyDescent="0.3">
      <c r="A63" t="str">
        <f>IF($C63="","",Dashboard!$B$3)</f>
        <v>Kelly</v>
      </c>
      <c r="B63" t="str">
        <f t="shared" si="0"/>
        <v>MARCH</v>
      </c>
      <c r="C63" t="s">
        <v>86</v>
      </c>
      <c r="D63" s="6">
        <v>18910</v>
      </c>
      <c r="H63" t="s">
        <v>28</v>
      </c>
      <c r="I63" s="5">
        <v>44995</v>
      </c>
    </row>
    <row r="64" spans="1:9" x14ac:dyDescent="0.3">
      <c r="A64" t="str">
        <f>IF($C64="","",Dashboard!$B$3)</f>
        <v>Kelly</v>
      </c>
      <c r="B64" t="str">
        <f t="shared" si="0"/>
        <v>MARCH</v>
      </c>
      <c r="C64" t="s">
        <v>87</v>
      </c>
      <c r="D64" s="6">
        <v>18892</v>
      </c>
      <c r="H64" t="s">
        <v>28</v>
      </c>
      <c r="I64" s="5">
        <v>44996</v>
      </c>
    </row>
    <row r="65" spans="1:9" x14ac:dyDescent="0.3">
      <c r="A65" t="str">
        <f>IF($C65="","",Dashboard!$B$3)</f>
        <v>Kelly</v>
      </c>
      <c r="B65" t="str">
        <f t="shared" si="0"/>
        <v>MARCH</v>
      </c>
      <c r="C65" t="s">
        <v>88</v>
      </c>
      <c r="D65" s="6">
        <v>16198</v>
      </c>
      <c r="H65" t="s">
        <v>36</v>
      </c>
      <c r="I65" s="5">
        <v>45000</v>
      </c>
    </row>
    <row r="66" spans="1:9" x14ac:dyDescent="0.3">
      <c r="A66" t="str">
        <f>IF($C66="","",Dashboard!$B$3)</f>
        <v>Kelly</v>
      </c>
      <c r="B66" t="str">
        <f t="shared" si="0"/>
        <v>MARCH</v>
      </c>
      <c r="C66" t="s">
        <v>89</v>
      </c>
      <c r="D66" s="6">
        <v>9556</v>
      </c>
      <c r="H66" t="s">
        <v>28</v>
      </c>
      <c r="I66" s="5">
        <v>45000</v>
      </c>
    </row>
    <row r="67" spans="1:9" x14ac:dyDescent="0.3">
      <c r="A67" t="str">
        <f>IF($C67="","",Dashboard!$B$3)</f>
        <v>Kelly</v>
      </c>
      <c r="B67" t="str">
        <f t="shared" si="0"/>
        <v>MARCH</v>
      </c>
      <c r="C67" t="s">
        <v>90</v>
      </c>
      <c r="D67" s="6">
        <v>14746</v>
      </c>
      <c r="H67" t="s">
        <v>36</v>
      </c>
      <c r="I67" s="5">
        <v>45000</v>
      </c>
    </row>
    <row r="68" spans="1:9" x14ac:dyDescent="0.3">
      <c r="A68" t="str">
        <f>IF($C68="","",Dashboard!$B$3)</f>
        <v>Kelly</v>
      </c>
      <c r="B68" t="str">
        <f t="shared" si="0"/>
        <v>MARCH</v>
      </c>
      <c r="C68" t="s">
        <v>91</v>
      </c>
      <c r="D68" s="6">
        <v>16549</v>
      </c>
      <c r="H68" t="s">
        <v>14</v>
      </c>
      <c r="I68" s="5">
        <v>45000</v>
      </c>
    </row>
    <row r="69" spans="1:9" x14ac:dyDescent="0.3">
      <c r="A69" t="str">
        <f>IF($C69="","",Dashboard!$B$3)</f>
        <v>Kelly</v>
      </c>
      <c r="B69" t="str">
        <f t="shared" ref="B69:B129" si="1">IF($I69="","",UPPER(TEXT($I69,"mmmm")))</f>
        <v>MARCH</v>
      </c>
      <c r="C69" t="s">
        <v>49</v>
      </c>
      <c r="D69" s="6">
        <v>12285</v>
      </c>
      <c r="H69" t="s">
        <v>14</v>
      </c>
      <c r="I69" s="5">
        <v>45003</v>
      </c>
    </row>
    <row r="70" spans="1:9" x14ac:dyDescent="0.3">
      <c r="A70" t="str">
        <f>IF($C70="","",Dashboard!$B$3)</f>
        <v>Kelly</v>
      </c>
      <c r="B70" t="str">
        <f t="shared" si="1"/>
        <v>MARCH</v>
      </c>
      <c r="C70" t="s">
        <v>92</v>
      </c>
      <c r="D70" s="6">
        <v>10768</v>
      </c>
      <c r="H70" t="s">
        <v>28</v>
      </c>
      <c r="I70" s="5">
        <v>45003</v>
      </c>
    </row>
    <row r="71" spans="1:9" x14ac:dyDescent="0.3">
      <c r="A71" t="str">
        <f>IF($C71="","",Dashboard!$B$3)</f>
        <v>Kelly</v>
      </c>
      <c r="B71" t="str">
        <f t="shared" si="1"/>
        <v>MARCH</v>
      </c>
      <c r="C71" t="s">
        <v>93</v>
      </c>
      <c r="D71" s="6">
        <v>15822</v>
      </c>
      <c r="H71" t="s">
        <v>36</v>
      </c>
      <c r="I71" s="5">
        <v>45003</v>
      </c>
    </row>
    <row r="72" spans="1:9" x14ac:dyDescent="0.3">
      <c r="A72" t="str">
        <f>IF($C72="","",Dashboard!$B$3)</f>
        <v>Kelly</v>
      </c>
      <c r="B72" t="str">
        <f t="shared" si="1"/>
        <v>MARCH</v>
      </c>
      <c r="C72" t="s">
        <v>94</v>
      </c>
      <c r="D72" s="6">
        <v>16723</v>
      </c>
      <c r="H72" t="s">
        <v>14</v>
      </c>
      <c r="I72" s="5">
        <v>45004</v>
      </c>
    </row>
    <row r="73" spans="1:9" x14ac:dyDescent="0.3">
      <c r="A73" t="str">
        <f>IF($C73="","",Dashboard!$B$3)</f>
        <v>Kelly</v>
      </c>
      <c r="B73" t="str">
        <f t="shared" si="1"/>
        <v>MARCH</v>
      </c>
      <c r="C73" t="s">
        <v>95</v>
      </c>
      <c r="D73" s="6">
        <v>19323</v>
      </c>
      <c r="H73" t="s">
        <v>28</v>
      </c>
      <c r="I73" s="5">
        <v>45006</v>
      </c>
    </row>
    <row r="74" spans="1:9" x14ac:dyDescent="0.3">
      <c r="A74" t="str">
        <f>IF($C74="","",Dashboard!$B$3)</f>
        <v>Kelly</v>
      </c>
      <c r="B74" t="str">
        <f t="shared" si="1"/>
        <v>MARCH</v>
      </c>
      <c r="C74" t="s">
        <v>96</v>
      </c>
      <c r="D74" s="6">
        <v>15344</v>
      </c>
      <c r="H74" t="s">
        <v>28</v>
      </c>
      <c r="I74" s="5">
        <v>45007</v>
      </c>
    </row>
    <row r="75" spans="1:9" x14ac:dyDescent="0.3">
      <c r="A75" t="str">
        <f>IF($C75="","",Dashboard!$B$3)</f>
        <v>Kelly</v>
      </c>
      <c r="B75" t="str">
        <f t="shared" si="1"/>
        <v>MARCH</v>
      </c>
      <c r="C75" t="s">
        <v>97</v>
      </c>
      <c r="D75" s="6">
        <v>19134</v>
      </c>
      <c r="H75" t="s">
        <v>36</v>
      </c>
      <c r="I75" s="5">
        <v>45008</v>
      </c>
    </row>
    <row r="76" spans="1:9" x14ac:dyDescent="0.3">
      <c r="A76" t="str">
        <f>IF($C76="","",Dashboard!$B$3)</f>
        <v>Kelly</v>
      </c>
      <c r="B76" t="str">
        <f t="shared" si="1"/>
        <v>MARCH</v>
      </c>
      <c r="C76" t="s">
        <v>98</v>
      </c>
      <c r="D76" s="6">
        <v>18910</v>
      </c>
      <c r="H76" t="s">
        <v>36</v>
      </c>
      <c r="I76" s="5">
        <v>45008</v>
      </c>
    </row>
    <row r="77" spans="1:9" x14ac:dyDescent="0.3">
      <c r="A77" t="str">
        <f>IF($C77="","",Dashboard!$B$3)</f>
        <v>Kelly</v>
      </c>
      <c r="B77" t="str">
        <f t="shared" si="1"/>
        <v>APRIL</v>
      </c>
      <c r="C77" t="s">
        <v>100</v>
      </c>
      <c r="D77" s="6">
        <v>18892</v>
      </c>
      <c r="H77" t="s">
        <v>14</v>
      </c>
      <c r="I77" s="5">
        <v>45018</v>
      </c>
    </row>
    <row r="78" spans="1:9" x14ac:dyDescent="0.3">
      <c r="A78" t="str">
        <f>IF($C78="","",Dashboard!$B$3)</f>
        <v>Kelly</v>
      </c>
      <c r="B78" t="str">
        <f t="shared" si="1"/>
        <v>APRIL</v>
      </c>
      <c r="C78" t="s">
        <v>101</v>
      </c>
      <c r="D78" s="6">
        <v>16198</v>
      </c>
      <c r="H78" t="s">
        <v>36</v>
      </c>
      <c r="I78" s="5">
        <v>45021</v>
      </c>
    </row>
    <row r="79" spans="1:9" x14ac:dyDescent="0.3">
      <c r="A79" t="str">
        <f>IF($C79="","",Dashboard!$B$3)</f>
        <v>Kelly</v>
      </c>
      <c r="B79" t="str">
        <f t="shared" si="1"/>
        <v>APRIL</v>
      </c>
      <c r="C79" t="s">
        <v>102</v>
      </c>
      <c r="D79" s="6">
        <v>9556</v>
      </c>
      <c r="H79" t="s">
        <v>28</v>
      </c>
      <c r="I79" s="5">
        <v>45021</v>
      </c>
    </row>
    <row r="80" spans="1:9" x14ac:dyDescent="0.3">
      <c r="A80" t="str">
        <f>IF($C80="","",Dashboard!$B$3)</f>
        <v>Kelly</v>
      </c>
      <c r="B80" t="str">
        <f t="shared" si="1"/>
        <v>APRIL</v>
      </c>
      <c r="C80" t="s">
        <v>103</v>
      </c>
      <c r="D80" s="6">
        <v>8200.7999999999993</v>
      </c>
      <c r="H80" t="s">
        <v>28</v>
      </c>
      <c r="I80" s="5">
        <v>45028</v>
      </c>
    </row>
    <row r="81" spans="1:9" x14ac:dyDescent="0.3">
      <c r="A81" t="str">
        <f>IF($C81="","",Dashboard!$B$3)</f>
        <v>Kelly</v>
      </c>
      <c r="B81" t="str">
        <f t="shared" si="1"/>
        <v>APRIL</v>
      </c>
      <c r="C81" t="s">
        <v>104</v>
      </c>
      <c r="D81" s="6">
        <v>9510.65</v>
      </c>
      <c r="H81" t="s">
        <v>28</v>
      </c>
      <c r="I81" s="5">
        <v>45028</v>
      </c>
    </row>
    <row r="82" spans="1:9" x14ac:dyDescent="0.3">
      <c r="A82" t="str">
        <f>IF($C82="","",Dashboard!$B$3)</f>
        <v>Kelly</v>
      </c>
      <c r="B82" t="str">
        <f t="shared" si="1"/>
        <v>APRIL</v>
      </c>
      <c r="C82" t="s">
        <v>105</v>
      </c>
      <c r="D82" s="6">
        <v>12534.1</v>
      </c>
      <c r="H82" t="s">
        <v>28</v>
      </c>
      <c r="I82" s="5">
        <v>45028</v>
      </c>
    </row>
    <row r="83" spans="1:9" x14ac:dyDescent="0.3">
      <c r="A83" t="str">
        <f>IF($C83="","",Dashboard!$B$3)</f>
        <v>Kelly</v>
      </c>
      <c r="B83" t="str">
        <f t="shared" si="1"/>
        <v>APRIL</v>
      </c>
      <c r="C83" t="s">
        <v>106</v>
      </c>
      <c r="D83" s="6">
        <v>14066.65</v>
      </c>
      <c r="H83" t="s">
        <v>28</v>
      </c>
      <c r="I83" s="5">
        <v>45031</v>
      </c>
    </row>
    <row r="84" spans="1:9" x14ac:dyDescent="0.3">
      <c r="A84" t="str">
        <f>IF($C84="","",Dashboard!$B$3)</f>
        <v>Kelly</v>
      </c>
      <c r="B84" t="str">
        <f t="shared" si="1"/>
        <v>APRIL</v>
      </c>
      <c r="C84" t="s">
        <v>107</v>
      </c>
      <c r="D84" s="6">
        <v>10442.25</v>
      </c>
      <c r="H84" t="s">
        <v>36</v>
      </c>
      <c r="I84" s="5">
        <v>45031</v>
      </c>
    </row>
    <row r="85" spans="1:9" x14ac:dyDescent="0.3">
      <c r="A85" t="str">
        <f>IF($C85="","",Dashboard!$B$3)</f>
        <v>Kelly</v>
      </c>
      <c r="B85" t="str">
        <f t="shared" si="1"/>
        <v>APRIL</v>
      </c>
      <c r="C85" t="s">
        <v>108</v>
      </c>
      <c r="D85" s="6">
        <v>9152.7999999999993</v>
      </c>
      <c r="H85" t="s">
        <v>28</v>
      </c>
      <c r="I85" s="5">
        <v>45031</v>
      </c>
    </row>
    <row r="86" spans="1:9" x14ac:dyDescent="0.3">
      <c r="A86" t="str">
        <f>IF($C86="","",Dashboard!$B$3)</f>
        <v>Kelly</v>
      </c>
      <c r="B86" t="str">
        <f t="shared" si="1"/>
        <v>APRIL</v>
      </c>
      <c r="C86" t="s">
        <v>109</v>
      </c>
      <c r="D86" s="6">
        <v>13448.699999999999</v>
      </c>
      <c r="H86" t="s">
        <v>36</v>
      </c>
      <c r="I86" s="5">
        <v>45034</v>
      </c>
    </row>
    <row r="87" spans="1:9" x14ac:dyDescent="0.3">
      <c r="A87" t="str">
        <f>IF($C87="","",Dashboard!$B$3)</f>
        <v>Kelly</v>
      </c>
      <c r="B87" t="str">
        <f t="shared" si="1"/>
        <v>APRIL</v>
      </c>
      <c r="C87" t="s">
        <v>111</v>
      </c>
      <c r="D87" s="6">
        <v>14214.55</v>
      </c>
      <c r="H87" t="s">
        <v>36</v>
      </c>
      <c r="I87" s="5">
        <v>45035</v>
      </c>
    </row>
    <row r="88" spans="1:9" x14ac:dyDescent="0.3">
      <c r="A88" t="str">
        <f>IF($C88="","",Dashboard!$B$3)</f>
        <v>Kelly</v>
      </c>
      <c r="B88" t="str">
        <f t="shared" si="1"/>
        <v>APRIL</v>
      </c>
      <c r="C88" t="s">
        <v>112</v>
      </c>
      <c r="D88" s="6">
        <v>16424.55</v>
      </c>
      <c r="H88" t="s">
        <v>28</v>
      </c>
      <c r="I88" s="5">
        <v>45036</v>
      </c>
    </row>
    <row r="89" spans="1:9" x14ac:dyDescent="0.3">
      <c r="A89" t="str">
        <f>IF($C89="","",Dashboard!$B$3)</f>
        <v>Kelly</v>
      </c>
      <c r="B89" t="str">
        <f t="shared" si="1"/>
        <v>APRIL</v>
      </c>
      <c r="C89" t="s">
        <v>113</v>
      </c>
      <c r="D89" s="6">
        <v>13042.4</v>
      </c>
      <c r="H89" t="s">
        <v>14</v>
      </c>
      <c r="I89" s="5">
        <v>45038</v>
      </c>
    </row>
    <row r="90" spans="1:9" x14ac:dyDescent="0.3">
      <c r="A90" t="str">
        <f>IF($C90="","",Dashboard!$B$3)</f>
        <v>Kelly</v>
      </c>
      <c r="B90" t="str">
        <f t="shared" si="1"/>
        <v>APRIL</v>
      </c>
      <c r="C90" t="s">
        <v>114</v>
      </c>
      <c r="D90" s="6">
        <v>16263.9</v>
      </c>
      <c r="H90" t="s">
        <v>36</v>
      </c>
      <c r="I90" s="5">
        <v>45038</v>
      </c>
    </row>
    <row r="91" spans="1:9" x14ac:dyDescent="0.3">
      <c r="A91" t="str">
        <f>IF($C91="","",Dashboard!$B$3)</f>
        <v>Kelly</v>
      </c>
      <c r="B91" t="str">
        <f t="shared" si="1"/>
        <v>APRIL</v>
      </c>
      <c r="C91" t="s">
        <v>107</v>
      </c>
      <c r="D91" s="6">
        <v>16073.5</v>
      </c>
      <c r="H91" t="s">
        <v>36</v>
      </c>
      <c r="I91" s="5">
        <v>45039</v>
      </c>
    </row>
    <row r="92" spans="1:9" x14ac:dyDescent="0.3">
      <c r="A92" t="str">
        <f>IF($C92="","",Dashboard!$B$3)</f>
        <v>Kelly</v>
      </c>
      <c r="B92" t="str">
        <f t="shared" si="1"/>
        <v>APRIL</v>
      </c>
      <c r="C92" t="s">
        <v>115</v>
      </c>
      <c r="D92" s="6">
        <v>16058.199999999999</v>
      </c>
      <c r="H92" t="s">
        <v>28</v>
      </c>
      <c r="I92" s="5">
        <v>45041</v>
      </c>
    </row>
    <row r="93" spans="1:9" x14ac:dyDescent="0.3">
      <c r="A93" t="str">
        <f>IF($C93="","",Dashboard!$B$3)</f>
        <v>Kelly</v>
      </c>
      <c r="B93" t="str">
        <f t="shared" si="1"/>
        <v>APRIL</v>
      </c>
      <c r="C93" t="s">
        <v>69</v>
      </c>
      <c r="D93" s="6">
        <v>13768.3</v>
      </c>
      <c r="H93" t="s">
        <v>36</v>
      </c>
      <c r="I93" s="5">
        <v>45044</v>
      </c>
    </row>
    <row r="94" spans="1:9" x14ac:dyDescent="0.3">
      <c r="A94" t="str">
        <f>IF($C94="","",Dashboard!$B$3)</f>
        <v>Kelly</v>
      </c>
      <c r="B94" t="str">
        <f t="shared" si="1"/>
        <v>APRIL</v>
      </c>
      <c r="C94" t="s">
        <v>97</v>
      </c>
      <c r="D94" s="6">
        <v>8122.5999999999995</v>
      </c>
      <c r="H94" t="s">
        <v>14</v>
      </c>
      <c r="I94" s="5">
        <v>45045</v>
      </c>
    </row>
    <row r="95" spans="1:9" x14ac:dyDescent="0.3">
      <c r="A95" t="str">
        <f>IF($C95="","",Dashboard!$B$3)</f>
        <v>Kelly</v>
      </c>
      <c r="B95" t="str">
        <f t="shared" si="1"/>
        <v>MAY</v>
      </c>
      <c r="C95" t="s">
        <v>118</v>
      </c>
      <c r="D95" s="6">
        <v>12534.1</v>
      </c>
      <c r="H95" t="s">
        <v>14</v>
      </c>
      <c r="I95" s="5">
        <v>45047</v>
      </c>
    </row>
    <row r="96" spans="1:9" x14ac:dyDescent="0.3">
      <c r="A96" t="str">
        <f>IF($C96="","",Dashboard!$B$3)</f>
        <v>Kelly</v>
      </c>
      <c r="B96" t="str">
        <f t="shared" si="1"/>
        <v>MAY</v>
      </c>
      <c r="C96" t="s">
        <v>119</v>
      </c>
      <c r="D96" s="6">
        <v>14066.65</v>
      </c>
      <c r="H96" t="s">
        <v>14</v>
      </c>
      <c r="I96" s="5">
        <v>45047</v>
      </c>
    </row>
    <row r="97" spans="1:9" x14ac:dyDescent="0.3">
      <c r="A97" t="str">
        <f>IF($C97="","",Dashboard!$B$3)</f>
        <v>Kelly</v>
      </c>
      <c r="B97" t="str">
        <f t="shared" si="1"/>
        <v>MAY</v>
      </c>
      <c r="C97" t="s">
        <v>120</v>
      </c>
      <c r="D97" s="6">
        <v>10442.25</v>
      </c>
      <c r="H97" t="s">
        <v>36</v>
      </c>
      <c r="I97" s="5">
        <v>45047</v>
      </c>
    </row>
    <row r="98" spans="1:9" x14ac:dyDescent="0.3">
      <c r="A98" t="str">
        <f>IF($C98="","",Dashboard!$B$3)</f>
        <v>Kelly</v>
      </c>
      <c r="B98" t="str">
        <f t="shared" si="1"/>
        <v>MAY</v>
      </c>
      <c r="C98" t="s">
        <v>121</v>
      </c>
      <c r="D98" s="6">
        <v>9152.7999999999993</v>
      </c>
      <c r="H98" t="s">
        <v>36</v>
      </c>
      <c r="I98" s="5">
        <v>45047</v>
      </c>
    </row>
    <row r="99" spans="1:9" x14ac:dyDescent="0.3">
      <c r="A99" t="str">
        <f>IF($C99="","",Dashboard!$B$3)</f>
        <v>Kelly</v>
      </c>
      <c r="B99" t="str">
        <f t="shared" si="1"/>
        <v>MAY</v>
      </c>
      <c r="C99" t="s">
        <v>122</v>
      </c>
      <c r="D99" s="6">
        <v>13448.699999999999</v>
      </c>
      <c r="H99" t="s">
        <v>36</v>
      </c>
      <c r="I99" s="5">
        <v>45047</v>
      </c>
    </row>
    <row r="100" spans="1:9" x14ac:dyDescent="0.3">
      <c r="A100" t="str">
        <f>IF($C100="","",Dashboard!$B$3)</f>
        <v>Kelly</v>
      </c>
      <c r="B100" t="str">
        <f t="shared" si="1"/>
        <v>MAY</v>
      </c>
      <c r="C100" t="s">
        <v>123</v>
      </c>
      <c r="D100" s="6">
        <v>14214.55</v>
      </c>
      <c r="H100" t="s">
        <v>28</v>
      </c>
      <c r="I100" s="5">
        <v>45056</v>
      </c>
    </row>
    <row r="101" spans="1:9" x14ac:dyDescent="0.3">
      <c r="A101" t="str">
        <f>IF($C101="","",Dashboard!$B$3)</f>
        <v>Kelly</v>
      </c>
      <c r="B101" t="str">
        <f t="shared" si="1"/>
        <v>MAY</v>
      </c>
      <c r="C101" t="s">
        <v>124</v>
      </c>
      <c r="D101" s="6">
        <v>16424.55</v>
      </c>
      <c r="H101" t="s">
        <v>28</v>
      </c>
      <c r="I101" s="5">
        <v>45056</v>
      </c>
    </row>
    <row r="102" spans="1:9" x14ac:dyDescent="0.3">
      <c r="A102" t="str">
        <f>IF($C102="","",Dashboard!$B$3)</f>
        <v>Kelly</v>
      </c>
      <c r="B102" t="str">
        <f t="shared" si="1"/>
        <v>MAY</v>
      </c>
      <c r="C102" t="s">
        <v>125</v>
      </c>
      <c r="D102" s="6">
        <v>13042.4</v>
      </c>
      <c r="H102" t="s">
        <v>28</v>
      </c>
      <c r="I102" s="5">
        <v>45061</v>
      </c>
    </row>
    <row r="103" spans="1:9" x14ac:dyDescent="0.3">
      <c r="A103" t="str">
        <f>IF($C103="","",Dashboard!$B$3)</f>
        <v>Kelly</v>
      </c>
      <c r="B103" t="str">
        <f t="shared" si="1"/>
        <v>MAY</v>
      </c>
      <c r="C103" t="s">
        <v>126</v>
      </c>
      <c r="D103" s="6">
        <v>16263.9</v>
      </c>
      <c r="H103" t="s">
        <v>28</v>
      </c>
      <c r="I103" s="5">
        <v>45061</v>
      </c>
    </row>
    <row r="104" spans="1:9" x14ac:dyDescent="0.3">
      <c r="A104" t="str">
        <f>IF($C104="","",Dashboard!$B$3)</f>
        <v>Kelly</v>
      </c>
      <c r="B104" t="str">
        <f t="shared" si="1"/>
        <v>MAY</v>
      </c>
      <c r="C104" t="s">
        <v>127</v>
      </c>
      <c r="D104" s="6">
        <v>16073.5</v>
      </c>
      <c r="H104" t="s">
        <v>36</v>
      </c>
      <c r="I104" s="5">
        <v>45061</v>
      </c>
    </row>
    <row r="105" spans="1:9" x14ac:dyDescent="0.3">
      <c r="A105" t="str">
        <f>IF($C105="","",Dashboard!$B$3)</f>
        <v>Kelly</v>
      </c>
      <c r="B105" t="str">
        <f t="shared" si="1"/>
        <v>MAY</v>
      </c>
      <c r="C105" t="s">
        <v>128</v>
      </c>
      <c r="D105" s="6">
        <v>16058.199999999999</v>
      </c>
      <c r="H105" t="s">
        <v>36</v>
      </c>
      <c r="I105" s="5">
        <v>45066</v>
      </c>
    </row>
    <row r="106" spans="1:9" x14ac:dyDescent="0.3">
      <c r="A106" t="str">
        <f>IF($C106="","",Dashboard!$B$3)</f>
        <v>Kelly</v>
      </c>
      <c r="B106" t="str">
        <f t="shared" si="1"/>
        <v>MAY</v>
      </c>
      <c r="C106" t="s">
        <v>129</v>
      </c>
      <c r="D106" s="6">
        <v>13768.3</v>
      </c>
      <c r="H106" t="s">
        <v>36</v>
      </c>
      <c r="I106" s="5">
        <v>45068</v>
      </c>
    </row>
    <row r="107" spans="1:9" x14ac:dyDescent="0.3">
      <c r="A107" t="str">
        <f>IF($C107="","",Dashboard!$B$3)</f>
        <v>Kelly</v>
      </c>
      <c r="B107" t="str">
        <f t="shared" si="1"/>
        <v>MAY</v>
      </c>
      <c r="C107" t="s">
        <v>70</v>
      </c>
      <c r="D107" s="6">
        <v>8122.5999999999995</v>
      </c>
      <c r="H107" t="s">
        <v>14</v>
      </c>
      <c r="I107" s="5">
        <v>45071</v>
      </c>
    </row>
    <row r="108" spans="1:9" x14ac:dyDescent="0.3">
      <c r="A108" t="str">
        <f>IF($C108="","",Dashboard!$B$3)</f>
        <v>Kelly</v>
      </c>
      <c r="B108" t="str">
        <f t="shared" si="1"/>
        <v>MAY</v>
      </c>
      <c r="C108" t="s">
        <v>130</v>
      </c>
      <c r="D108" s="6">
        <v>6584.9</v>
      </c>
      <c r="H108" t="s">
        <v>28</v>
      </c>
      <c r="I108" s="5">
        <v>45076</v>
      </c>
    </row>
    <row r="109" spans="1:9" x14ac:dyDescent="0.3">
      <c r="A109" t="str">
        <f>IF($C109="","",Dashboard!$B$3)</f>
        <v>Kelly</v>
      </c>
      <c r="B109" t="str">
        <f t="shared" si="1"/>
        <v>MAY</v>
      </c>
      <c r="C109" t="s">
        <v>131</v>
      </c>
      <c r="D109" s="6">
        <v>11084.849999999999</v>
      </c>
      <c r="H109" t="s">
        <v>28</v>
      </c>
      <c r="I109" s="5">
        <v>45076</v>
      </c>
    </row>
    <row r="110" spans="1:9" x14ac:dyDescent="0.3">
      <c r="A110" t="str">
        <f>IF($C110="","",Dashboard!$B$3)</f>
        <v>Kelly</v>
      </c>
      <c r="B110" t="str">
        <f t="shared" si="1"/>
        <v>MAY</v>
      </c>
      <c r="C110" t="s">
        <v>132</v>
      </c>
      <c r="D110" s="6">
        <v>14569.349999999999</v>
      </c>
      <c r="H110" t="s">
        <v>28</v>
      </c>
      <c r="I110" s="5">
        <v>45076</v>
      </c>
    </row>
    <row r="111" spans="1:9" x14ac:dyDescent="0.3">
      <c r="A111" t="str">
        <f>IF($C111="","",Dashboard!$B$3)</f>
        <v>Kelly</v>
      </c>
      <c r="B111" t="str">
        <f t="shared" si="1"/>
        <v>MAY</v>
      </c>
      <c r="C111" t="s">
        <v>133</v>
      </c>
      <c r="D111" s="6">
        <v>9489.7999999999993</v>
      </c>
      <c r="H111" t="s">
        <v>28</v>
      </c>
      <c r="I111" s="5">
        <v>45076</v>
      </c>
    </row>
    <row r="112" spans="1:9" x14ac:dyDescent="0.3">
      <c r="A112" t="str">
        <f>IF($C112="","",Dashboard!$B$3)</f>
        <v>Kelly</v>
      </c>
      <c r="B112" t="str">
        <f t="shared" si="1"/>
        <v>JUNE</v>
      </c>
      <c r="C112" t="s">
        <v>135</v>
      </c>
      <c r="D112" s="6">
        <v>18232.099999999999</v>
      </c>
      <c r="H112" t="s">
        <v>36</v>
      </c>
      <c r="I112" s="5">
        <v>45078</v>
      </c>
    </row>
    <row r="113" spans="1:9" x14ac:dyDescent="0.3">
      <c r="A113" t="str">
        <f>IF($C113="","",Dashboard!$B$3)</f>
        <v>Kelly</v>
      </c>
      <c r="B113" t="str">
        <f t="shared" si="1"/>
        <v>JUNE</v>
      </c>
      <c r="C113" t="s">
        <v>136</v>
      </c>
      <c r="D113" s="6">
        <v>6990.8499999999995</v>
      </c>
      <c r="H113" t="s">
        <v>36</v>
      </c>
      <c r="I113" s="5">
        <v>45078</v>
      </c>
    </row>
    <row r="114" spans="1:9" x14ac:dyDescent="0.3">
      <c r="A114" t="str">
        <f>IF($C114="","",Dashboard!$B$3)</f>
        <v>Kelly</v>
      </c>
      <c r="B114" t="str">
        <f t="shared" si="1"/>
        <v>JUNE</v>
      </c>
      <c r="C114" t="s">
        <v>137</v>
      </c>
      <c r="D114" s="6">
        <v>17151.099999999999</v>
      </c>
      <c r="H114" t="s">
        <v>36</v>
      </c>
      <c r="I114" s="5">
        <v>45078</v>
      </c>
    </row>
    <row r="115" spans="1:9" x14ac:dyDescent="0.3">
      <c r="A115" t="str">
        <f>IF($C115="","",Dashboard!$B$3)</f>
        <v>Kelly</v>
      </c>
      <c r="B115" t="str">
        <f t="shared" si="1"/>
        <v>JUNE</v>
      </c>
      <c r="C115" t="s">
        <v>138</v>
      </c>
      <c r="D115" s="6">
        <v>11642.599999999999</v>
      </c>
      <c r="H115" t="s">
        <v>14</v>
      </c>
      <c r="I115" s="5">
        <v>45078</v>
      </c>
    </row>
    <row r="116" spans="1:9" x14ac:dyDescent="0.3">
      <c r="A116" t="str">
        <f>IF($C116="","",Dashboard!$B$3)</f>
        <v>Kelly</v>
      </c>
      <c r="B116" t="str">
        <f t="shared" si="1"/>
        <v>JUNE</v>
      </c>
      <c r="C116" t="s">
        <v>139</v>
      </c>
      <c r="D116" s="6">
        <v>10984.8</v>
      </c>
      <c r="H116" t="s">
        <v>14</v>
      </c>
      <c r="I116" s="5">
        <v>45079</v>
      </c>
    </row>
    <row r="117" spans="1:9" x14ac:dyDescent="0.3">
      <c r="A117" t="str">
        <f>IF($C117="","",Dashboard!$B$3)</f>
        <v>Kelly</v>
      </c>
      <c r="B117" t="str">
        <f t="shared" si="1"/>
        <v>JUNE</v>
      </c>
      <c r="C117" t="s">
        <v>140</v>
      </c>
      <c r="D117" s="6">
        <v>18918.649999999998</v>
      </c>
      <c r="H117" t="s">
        <v>28</v>
      </c>
      <c r="I117" s="5">
        <v>45080</v>
      </c>
    </row>
    <row r="118" spans="1:9" x14ac:dyDescent="0.3">
      <c r="A118" t="str">
        <f>IF($C118="","",Dashboard!$B$3)</f>
        <v>Kelly</v>
      </c>
      <c r="B118" t="str">
        <f t="shared" si="1"/>
        <v>JUNE</v>
      </c>
      <c r="C118" t="s">
        <v>141</v>
      </c>
      <c r="D118" s="6">
        <v>8984.9499999999989</v>
      </c>
      <c r="H118" t="s">
        <v>14</v>
      </c>
      <c r="I118" s="5">
        <v>45082</v>
      </c>
    </row>
    <row r="119" spans="1:9" x14ac:dyDescent="0.3">
      <c r="A119" t="str">
        <f>IF($C119="","",Dashboard!$B$3)</f>
        <v>Kelly</v>
      </c>
      <c r="B119" t="str">
        <f t="shared" si="1"/>
        <v>JUNE</v>
      </c>
      <c r="C119" t="s">
        <v>142</v>
      </c>
      <c r="D119" s="6">
        <v>12836.3</v>
      </c>
      <c r="H119" t="s">
        <v>36</v>
      </c>
      <c r="I119" s="5">
        <v>45085</v>
      </c>
    </row>
    <row r="120" spans="1:9" x14ac:dyDescent="0.3">
      <c r="A120" t="str">
        <f>IF($C120="","",Dashboard!$B$3)</f>
        <v>Kelly</v>
      </c>
      <c r="B120" t="str">
        <f t="shared" si="1"/>
        <v>JUNE</v>
      </c>
      <c r="C120" t="s">
        <v>69</v>
      </c>
      <c r="D120" s="6">
        <v>11766.8</v>
      </c>
      <c r="H120" t="s">
        <v>14</v>
      </c>
      <c r="I120" s="5">
        <v>45086</v>
      </c>
    </row>
    <row r="121" spans="1:9" x14ac:dyDescent="0.3">
      <c r="A121" t="str">
        <f>IF($C121="","",Dashboard!$B$3)</f>
        <v>Kelly</v>
      </c>
      <c r="B121" t="str">
        <f t="shared" si="1"/>
        <v>JUNE</v>
      </c>
      <c r="C121" t="s">
        <v>143</v>
      </c>
      <c r="D121" s="6">
        <v>11665.599999999999</v>
      </c>
      <c r="H121" t="s">
        <v>28</v>
      </c>
      <c r="I121" s="5">
        <v>45087</v>
      </c>
    </row>
    <row r="122" spans="1:9" x14ac:dyDescent="0.3">
      <c r="A122" t="str">
        <f>IF($C122="","",Dashboard!$B$3)</f>
        <v>Kelly</v>
      </c>
      <c r="B122" t="str">
        <f t="shared" si="1"/>
        <v>JUNE</v>
      </c>
      <c r="C122" t="s">
        <v>144</v>
      </c>
      <c r="D122" s="6">
        <v>14857.999999999998</v>
      </c>
      <c r="H122" t="s">
        <v>28</v>
      </c>
      <c r="I122" s="5">
        <v>45088</v>
      </c>
    </row>
    <row r="123" spans="1:9" x14ac:dyDescent="0.3">
      <c r="A123" t="str">
        <f>IF($C123="","",Dashboard!$B$3)</f>
        <v>Kelly</v>
      </c>
      <c r="B123" t="str">
        <f t="shared" si="1"/>
        <v>JUNE</v>
      </c>
      <c r="C123" t="s">
        <v>145</v>
      </c>
      <c r="D123" s="6">
        <v>13016.849999999999</v>
      </c>
      <c r="H123" t="s">
        <v>36</v>
      </c>
      <c r="I123" s="5">
        <v>45089</v>
      </c>
    </row>
    <row r="124" spans="1:9" x14ac:dyDescent="0.3">
      <c r="A124" t="str">
        <f>IF($C124="","",Dashboard!$B$3)</f>
        <v>Kelly</v>
      </c>
      <c r="B124" t="str">
        <f t="shared" si="1"/>
        <v>JUNE</v>
      </c>
      <c r="C124" t="s">
        <v>146</v>
      </c>
      <c r="D124" s="6">
        <v>20061.75</v>
      </c>
      <c r="H124" t="s">
        <v>28</v>
      </c>
      <c r="I124" s="5">
        <v>45089</v>
      </c>
    </row>
    <row r="125" spans="1:9" x14ac:dyDescent="0.3">
      <c r="A125" t="str">
        <f>IF($C125="","",Dashboard!$B$3)</f>
        <v>Kelly</v>
      </c>
      <c r="B125" t="str">
        <f t="shared" si="1"/>
        <v>JUNE</v>
      </c>
      <c r="C125" t="s">
        <v>147</v>
      </c>
      <c r="D125" s="6">
        <v>6030.5999999999995</v>
      </c>
      <c r="H125" t="s">
        <v>36</v>
      </c>
      <c r="I125" s="5">
        <v>45092</v>
      </c>
    </row>
    <row r="126" spans="1:9" x14ac:dyDescent="0.3">
      <c r="A126" t="str">
        <f>IF($C126="","",Dashboard!$B$3)</f>
        <v>Kelly</v>
      </c>
      <c r="B126" t="str">
        <f t="shared" si="1"/>
        <v>JUNE</v>
      </c>
      <c r="C126" t="s">
        <v>148</v>
      </c>
      <c r="D126" s="6">
        <v>12711.24</v>
      </c>
      <c r="H126" t="s">
        <v>36</v>
      </c>
      <c r="I126" s="5">
        <v>45092</v>
      </c>
    </row>
    <row r="127" spans="1:9" x14ac:dyDescent="0.3">
      <c r="A127" t="str">
        <f>IF($C127="","",Dashboard!$B$3)</f>
        <v>Kelly</v>
      </c>
      <c r="B127" t="str">
        <f t="shared" si="1"/>
        <v>JUNE</v>
      </c>
      <c r="C127" t="s">
        <v>93</v>
      </c>
      <c r="D127" s="6">
        <v>14741.5075</v>
      </c>
      <c r="H127" t="s">
        <v>14</v>
      </c>
      <c r="I127" s="5">
        <v>45095</v>
      </c>
    </row>
    <row r="128" spans="1:9" x14ac:dyDescent="0.3">
      <c r="A128" t="str">
        <f>IF($C128="","",Dashboard!$B$3)</f>
        <v>Kelly</v>
      </c>
      <c r="B128" t="str">
        <f t="shared" si="1"/>
        <v>JUNE</v>
      </c>
      <c r="C128" t="s">
        <v>149</v>
      </c>
      <c r="D128" s="6">
        <v>19427.855</v>
      </c>
      <c r="H128" t="s">
        <v>36</v>
      </c>
      <c r="I128" s="5">
        <v>45095</v>
      </c>
    </row>
    <row r="129" spans="1:10" x14ac:dyDescent="0.3">
      <c r="A129" t="str">
        <f>IF($C129="","",Dashboard!$B$3)</f>
        <v>Kelly</v>
      </c>
      <c r="B129" t="str">
        <f t="shared" si="1"/>
        <v>JUNE</v>
      </c>
      <c r="C129" t="s">
        <v>150</v>
      </c>
      <c r="D129" s="6">
        <v>21803.307499999999</v>
      </c>
      <c r="H129" t="s">
        <v>28</v>
      </c>
      <c r="I129" s="5">
        <v>45095</v>
      </c>
    </row>
    <row r="130" spans="1:10" x14ac:dyDescent="0.3">
      <c r="A130" t="str">
        <f>IF($C130="","",Dashboard!$B$3)</f>
        <v>Kelly</v>
      </c>
      <c r="B130" t="str">
        <f>IF($I130="","",UPPER(TEXT($I130,"mmmm")))</f>
        <v>JANUARY</v>
      </c>
      <c r="C130" t="s">
        <v>20</v>
      </c>
      <c r="D130" s="6">
        <v>15822</v>
      </c>
      <c r="E130" t="s">
        <v>21</v>
      </c>
      <c r="F130" s="14">
        <v>1</v>
      </c>
      <c r="G130" s="6">
        <v>15822</v>
      </c>
      <c r="H130" t="s">
        <v>14</v>
      </c>
      <c r="I130" s="5">
        <v>44927</v>
      </c>
      <c r="J130" s="1" t="s">
        <v>22</v>
      </c>
    </row>
    <row r="131" spans="1:10" x14ac:dyDescent="0.3">
      <c r="A131" t="str">
        <f>IF($C131="","",Dashboard!$B$3)</f>
        <v>Kelly</v>
      </c>
      <c r="B131" t="str">
        <f t="shared" ref="B131:B194" si="2">IF($I131="","",UPPER(TEXT($I131,"mmmm")))</f>
        <v>JANUARY</v>
      </c>
      <c r="C131" t="s">
        <v>23</v>
      </c>
      <c r="D131" s="6">
        <v>16723</v>
      </c>
      <c r="E131" t="s">
        <v>21</v>
      </c>
      <c r="F131" s="14">
        <v>1</v>
      </c>
      <c r="G131" s="6">
        <v>16723</v>
      </c>
      <c r="H131" t="s">
        <v>14</v>
      </c>
      <c r="I131" s="5">
        <v>44927</v>
      </c>
      <c r="J131" s="1" t="s">
        <v>24</v>
      </c>
    </row>
    <row r="132" spans="1:10" x14ac:dyDescent="0.3">
      <c r="A132" t="str">
        <f>IF($C132="","",Dashboard!$B$3)</f>
        <v>Kelly</v>
      </c>
      <c r="B132" t="str">
        <f t="shared" si="2"/>
        <v>JANUARY</v>
      </c>
      <c r="C132" t="s">
        <v>25</v>
      </c>
      <c r="D132" s="6">
        <v>30000</v>
      </c>
      <c r="E132" t="s">
        <v>21</v>
      </c>
      <c r="F132" s="14">
        <v>1</v>
      </c>
      <c r="G132" s="6">
        <v>30000</v>
      </c>
      <c r="H132" t="s">
        <v>14</v>
      </c>
      <c r="I132" s="5">
        <v>44927</v>
      </c>
      <c r="J132" s="1" t="s">
        <v>26</v>
      </c>
    </row>
    <row r="133" spans="1:10" x14ac:dyDescent="0.3">
      <c r="A133" t="str">
        <f>IF($C133="","",Dashboard!$B$3)</f>
        <v>Kelly</v>
      </c>
      <c r="B133" t="str">
        <f t="shared" si="2"/>
        <v>JANUARY</v>
      </c>
      <c r="C133" t="s">
        <v>29</v>
      </c>
      <c r="D133" s="6">
        <v>19134</v>
      </c>
      <c r="E133" t="s">
        <v>21</v>
      </c>
      <c r="F133" s="14">
        <v>1</v>
      </c>
      <c r="G133" s="6">
        <v>19134</v>
      </c>
      <c r="H133" t="s">
        <v>28</v>
      </c>
      <c r="I133" s="5">
        <v>44934</v>
      </c>
      <c r="J133" s="1" t="s">
        <v>30</v>
      </c>
    </row>
    <row r="134" spans="1:10" x14ac:dyDescent="0.3">
      <c r="A134" t="str">
        <f>IF($C134="","",Dashboard!$B$3)</f>
        <v>Kelly</v>
      </c>
      <c r="B134" t="str">
        <f t="shared" si="2"/>
        <v>JANUARY</v>
      </c>
      <c r="C134" t="s">
        <v>31</v>
      </c>
      <c r="D134" s="6">
        <v>20000</v>
      </c>
      <c r="E134" t="s">
        <v>21</v>
      </c>
      <c r="F134" s="14">
        <v>1</v>
      </c>
      <c r="G134" s="6">
        <v>20000</v>
      </c>
      <c r="H134" t="s">
        <v>28</v>
      </c>
      <c r="I134" s="5">
        <v>44934</v>
      </c>
      <c r="J134" s="1" t="s">
        <v>32</v>
      </c>
    </row>
    <row r="135" spans="1:10" x14ac:dyDescent="0.3">
      <c r="A135" t="str">
        <f>IF($C135="","",Dashboard!$B$3)</f>
        <v>Kelly</v>
      </c>
      <c r="B135" t="str">
        <f t="shared" si="2"/>
        <v>JANUARY</v>
      </c>
      <c r="C135" t="s">
        <v>37</v>
      </c>
      <c r="D135" s="6">
        <v>8317</v>
      </c>
      <c r="E135" t="s">
        <v>21</v>
      </c>
      <c r="F135" s="14">
        <v>1</v>
      </c>
      <c r="G135" s="6">
        <v>8317</v>
      </c>
      <c r="H135" t="s">
        <v>36</v>
      </c>
      <c r="I135" s="5">
        <v>44938</v>
      </c>
    </row>
    <row r="136" spans="1:10" x14ac:dyDescent="0.3">
      <c r="A136" t="str">
        <f>IF($C136="","",Dashboard!$B$3)</f>
        <v>Kelly</v>
      </c>
      <c r="B136" t="str">
        <f t="shared" si="2"/>
        <v>JANUARY</v>
      </c>
      <c r="C136" t="s">
        <v>39</v>
      </c>
      <c r="D136" s="6">
        <v>9709</v>
      </c>
      <c r="E136" t="s">
        <v>21</v>
      </c>
      <c r="F136" s="14">
        <v>1</v>
      </c>
      <c r="G136" s="6">
        <v>9709</v>
      </c>
      <c r="H136" t="s">
        <v>28</v>
      </c>
      <c r="I136" s="5">
        <v>44941</v>
      </c>
    </row>
    <row r="137" spans="1:10" x14ac:dyDescent="0.3">
      <c r="A137" t="str">
        <f>IF($C137="","",Dashboard!$B$3)</f>
        <v>Kelly</v>
      </c>
      <c r="B137" t="str">
        <f t="shared" si="2"/>
        <v>JANUARY</v>
      </c>
      <c r="C137" t="s">
        <v>40</v>
      </c>
      <c r="D137" s="6">
        <v>17174</v>
      </c>
      <c r="E137" t="s">
        <v>21</v>
      </c>
      <c r="F137" s="14">
        <v>1</v>
      </c>
      <c r="G137" s="6">
        <v>17174</v>
      </c>
      <c r="H137" t="s">
        <v>28</v>
      </c>
      <c r="I137" s="5">
        <v>44941</v>
      </c>
    </row>
    <row r="138" spans="1:10" x14ac:dyDescent="0.3">
      <c r="A138" t="str">
        <f>IF($C138="","",Dashboard!$B$3)</f>
        <v>Kelly</v>
      </c>
      <c r="B138" t="str">
        <f t="shared" si="2"/>
        <v>JANUARY</v>
      </c>
      <c r="C138" t="s">
        <v>41</v>
      </c>
      <c r="D138" s="6">
        <v>11616</v>
      </c>
      <c r="E138" t="s">
        <v>21</v>
      </c>
      <c r="F138" s="14">
        <v>1</v>
      </c>
      <c r="G138" s="6">
        <v>11616</v>
      </c>
      <c r="H138" t="s">
        <v>36</v>
      </c>
      <c r="I138" s="5">
        <v>44941</v>
      </c>
    </row>
    <row r="139" spans="1:10" x14ac:dyDescent="0.3">
      <c r="A139" t="str">
        <f>IF($C139="","",Dashboard!$B$3)</f>
        <v>Kelly</v>
      </c>
      <c r="B139" t="str">
        <f t="shared" si="2"/>
        <v>JANUARY</v>
      </c>
      <c r="C139" t="s">
        <v>41</v>
      </c>
      <c r="D139" s="6">
        <v>10043</v>
      </c>
      <c r="E139" t="s">
        <v>21</v>
      </c>
      <c r="F139" s="14">
        <v>1</v>
      </c>
      <c r="G139" s="6">
        <v>10043</v>
      </c>
      <c r="H139" t="s">
        <v>14</v>
      </c>
      <c r="I139" s="5">
        <v>44941</v>
      </c>
      <c r="J139" s="1" t="s">
        <v>42</v>
      </c>
    </row>
    <row r="140" spans="1:10" x14ac:dyDescent="0.3">
      <c r="A140" t="str">
        <f>IF($C140="","",Dashboard!$B$3)</f>
        <v>Kelly</v>
      </c>
      <c r="B140" t="str">
        <f t="shared" si="2"/>
        <v>JANUARY</v>
      </c>
      <c r="C140" t="s">
        <v>44</v>
      </c>
      <c r="D140" s="6">
        <v>14216</v>
      </c>
      <c r="E140" t="s">
        <v>21</v>
      </c>
      <c r="F140" s="14">
        <v>1</v>
      </c>
      <c r="G140" s="6">
        <v>14216</v>
      </c>
      <c r="H140" t="s">
        <v>28</v>
      </c>
      <c r="I140" s="5">
        <v>44946</v>
      </c>
    </row>
    <row r="141" spans="1:10" x14ac:dyDescent="0.3">
      <c r="A141" t="str">
        <f>IF($C141="","",Dashboard!$B$3)</f>
        <v>Kelly</v>
      </c>
      <c r="B141" t="str">
        <f t="shared" si="2"/>
        <v>JANUARY</v>
      </c>
      <c r="C141" t="s">
        <v>45</v>
      </c>
      <c r="D141" s="6">
        <v>18851</v>
      </c>
      <c r="E141" t="s">
        <v>21</v>
      </c>
      <c r="F141" s="14">
        <v>1</v>
      </c>
      <c r="G141" s="6">
        <v>18851</v>
      </c>
      <c r="H141" t="s">
        <v>28</v>
      </c>
      <c r="I141" s="5">
        <v>44946</v>
      </c>
    </row>
    <row r="142" spans="1:10" x14ac:dyDescent="0.3">
      <c r="A142" t="str">
        <f>IF($C142="","",Dashboard!$B$3)</f>
        <v>Kelly</v>
      </c>
      <c r="B142" t="str">
        <f t="shared" si="2"/>
        <v>JANUARY</v>
      </c>
      <c r="C142" t="s">
        <v>46</v>
      </c>
      <c r="D142" s="6">
        <v>5538</v>
      </c>
      <c r="E142" t="s">
        <v>21</v>
      </c>
      <c r="F142" s="14">
        <v>1</v>
      </c>
      <c r="G142" s="6">
        <v>5538</v>
      </c>
      <c r="H142" t="s">
        <v>36</v>
      </c>
      <c r="I142" s="5">
        <v>44946</v>
      </c>
    </row>
    <row r="143" spans="1:10" x14ac:dyDescent="0.3">
      <c r="A143" t="str">
        <f>IF($C143="","",Dashboard!$B$3)</f>
        <v>Kelly</v>
      </c>
      <c r="B143" t="str">
        <f t="shared" si="2"/>
        <v>JANUARY</v>
      </c>
      <c r="C143" t="s">
        <v>48</v>
      </c>
      <c r="D143" s="6">
        <v>16581</v>
      </c>
      <c r="E143" t="s">
        <v>21</v>
      </c>
      <c r="F143" s="14">
        <v>1</v>
      </c>
      <c r="G143" s="6">
        <v>16581</v>
      </c>
      <c r="H143" t="s">
        <v>28</v>
      </c>
      <c r="I143" s="5">
        <v>44951</v>
      </c>
    </row>
    <row r="144" spans="1:10" x14ac:dyDescent="0.3">
      <c r="A144" t="str">
        <f>IF($C144="","",Dashboard!$B$3)</f>
        <v>Kelly</v>
      </c>
      <c r="B144" t="str">
        <f t="shared" si="2"/>
        <v>JANUARY</v>
      </c>
      <c r="C144" t="s">
        <v>49</v>
      </c>
      <c r="D144" s="6">
        <v>11846</v>
      </c>
      <c r="E144" t="s">
        <v>21</v>
      </c>
      <c r="F144" s="14">
        <v>1</v>
      </c>
      <c r="G144" s="6">
        <v>11846</v>
      </c>
      <c r="H144" t="s">
        <v>36</v>
      </c>
      <c r="I144" s="5">
        <v>44951</v>
      </c>
    </row>
    <row r="145" spans="1:10" x14ac:dyDescent="0.3">
      <c r="A145" t="str">
        <f>IF($C145="","",Dashboard!$B$3)</f>
        <v>Kelly</v>
      </c>
      <c r="B145" t="str">
        <f t="shared" si="2"/>
        <v>JANUARY</v>
      </c>
      <c r="C145" t="s">
        <v>50</v>
      </c>
      <c r="D145" s="6">
        <v>5849</v>
      </c>
      <c r="E145" t="s">
        <v>21</v>
      </c>
      <c r="F145" s="14">
        <v>1</v>
      </c>
      <c r="G145" s="6">
        <v>5849</v>
      </c>
      <c r="H145" t="s">
        <v>28</v>
      </c>
      <c r="I145" s="5">
        <v>44956</v>
      </c>
    </row>
    <row r="146" spans="1:10" x14ac:dyDescent="0.3">
      <c r="A146" t="str">
        <f>IF($C146="","",Dashboard!$B$3)</f>
        <v>Kelly</v>
      </c>
      <c r="B146" t="str">
        <f t="shared" si="2"/>
        <v>JANUARY</v>
      </c>
      <c r="C146" t="s">
        <v>51</v>
      </c>
      <c r="D146" s="6">
        <v>9793</v>
      </c>
      <c r="E146" t="s">
        <v>21</v>
      </c>
      <c r="F146" s="14">
        <v>1</v>
      </c>
      <c r="G146" s="6">
        <v>9793</v>
      </c>
      <c r="H146" t="s">
        <v>28</v>
      </c>
      <c r="I146" s="5">
        <v>44956</v>
      </c>
    </row>
    <row r="147" spans="1:10" x14ac:dyDescent="0.3">
      <c r="A147" t="str">
        <f>IF($C147="","",Dashboard!$B$3)</f>
        <v>Kelly</v>
      </c>
      <c r="B147" t="str">
        <f t="shared" si="2"/>
        <v>JANUARY</v>
      </c>
      <c r="C147" t="s">
        <v>52</v>
      </c>
      <c r="D147" s="6">
        <v>5640</v>
      </c>
      <c r="E147" t="s">
        <v>21</v>
      </c>
      <c r="F147" s="14">
        <v>1</v>
      </c>
      <c r="G147" s="6">
        <v>5640</v>
      </c>
      <c r="H147" t="s">
        <v>28</v>
      </c>
      <c r="I147" s="5">
        <v>44956</v>
      </c>
    </row>
    <row r="148" spans="1:10" x14ac:dyDescent="0.3">
      <c r="A148" t="str">
        <f>IF($C148="","",Dashboard!$B$3)</f>
        <v>Kelly</v>
      </c>
      <c r="B148" t="str">
        <f t="shared" si="2"/>
        <v>JANUARY</v>
      </c>
      <c r="C148" t="s">
        <v>53</v>
      </c>
      <c r="D148" s="6">
        <v>9100</v>
      </c>
      <c r="E148" t="s">
        <v>21</v>
      </c>
      <c r="F148" s="14">
        <v>1</v>
      </c>
      <c r="G148" s="6">
        <v>9100</v>
      </c>
      <c r="H148" t="s">
        <v>36</v>
      </c>
      <c r="I148" s="5">
        <v>44956</v>
      </c>
    </row>
    <row r="149" spans="1:10" x14ac:dyDescent="0.3">
      <c r="A149" t="str">
        <f>IF($C149="","",Dashboard!$B$3)</f>
        <v>Kelly</v>
      </c>
      <c r="B149" t="str">
        <f t="shared" si="2"/>
        <v>FEBRUARY</v>
      </c>
      <c r="C149" t="s">
        <v>58</v>
      </c>
      <c r="D149" s="6">
        <v>8252</v>
      </c>
      <c r="E149" t="s">
        <v>21</v>
      </c>
      <c r="F149" s="14">
        <v>1</v>
      </c>
      <c r="G149" s="6">
        <v>8252</v>
      </c>
      <c r="H149" t="s">
        <v>36</v>
      </c>
      <c r="I149" s="5">
        <v>44958</v>
      </c>
      <c r="J149" s="1" t="s">
        <v>59</v>
      </c>
    </row>
    <row r="150" spans="1:10" x14ac:dyDescent="0.3">
      <c r="A150" t="str">
        <f>IF($C150="","",Dashboard!$B$3)</f>
        <v>Kelly</v>
      </c>
      <c r="B150" t="str">
        <f t="shared" si="2"/>
        <v>FEBRUARY</v>
      </c>
      <c r="C150" t="s">
        <v>60</v>
      </c>
      <c r="D150" s="6">
        <v>15854</v>
      </c>
      <c r="E150" t="s">
        <v>21</v>
      </c>
      <c r="F150" s="14">
        <v>1</v>
      </c>
      <c r="G150" s="6">
        <v>15854</v>
      </c>
      <c r="H150" t="s">
        <v>36</v>
      </c>
      <c r="I150" s="5">
        <v>44958</v>
      </c>
    </row>
    <row r="151" spans="1:10" x14ac:dyDescent="0.3">
      <c r="A151" t="str">
        <f>IF($C151="","",Dashboard!$B$3)</f>
        <v>Kelly</v>
      </c>
      <c r="B151" t="str">
        <f t="shared" si="2"/>
        <v>FEBRUARY</v>
      </c>
      <c r="C151" t="s">
        <v>61</v>
      </c>
      <c r="D151" s="6">
        <v>6079</v>
      </c>
      <c r="E151" t="s">
        <v>21</v>
      </c>
      <c r="F151" s="14">
        <v>1</v>
      </c>
      <c r="G151" s="6">
        <v>6079</v>
      </c>
      <c r="H151" t="s">
        <v>28</v>
      </c>
      <c r="I151" s="5">
        <v>44962</v>
      </c>
    </row>
    <row r="152" spans="1:10" x14ac:dyDescent="0.3">
      <c r="A152" t="str">
        <f>IF($C152="","",Dashboard!$B$3)</f>
        <v>Kelly</v>
      </c>
      <c r="B152" t="str">
        <f t="shared" si="2"/>
        <v>FEBRUARY</v>
      </c>
      <c r="C152" t="s">
        <v>62</v>
      </c>
      <c r="D152" s="6">
        <v>14914</v>
      </c>
      <c r="E152" t="s">
        <v>21</v>
      </c>
      <c r="F152" s="14">
        <v>1</v>
      </c>
      <c r="G152" s="6">
        <v>14914</v>
      </c>
      <c r="H152" t="s">
        <v>28</v>
      </c>
      <c r="I152" s="5">
        <v>44962</v>
      </c>
      <c r="J152" s="1" t="s">
        <v>63</v>
      </c>
    </row>
    <row r="153" spans="1:10" x14ac:dyDescent="0.3">
      <c r="A153" t="str">
        <f>IF($C153="","",Dashboard!$B$3)</f>
        <v>Kelly</v>
      </c>
      <c r="B153" t="str">
        <f t="shared" si="2"/>
        <v>FEBRUARY</v>
      </c>
      <c r="C153" t="s">
        <v>67</v>
      </c>
      <c r="D153" s="6">
        <v>7813</v>
      </c>
      <c r="E153" t="s">
        <v>21</v>
      </c>
      <c r="F153" s="14">
        <v>1</v>
      </c>
      <c r="G153" s="6">
        <v>7813</v>
      </c>
      <c r="H153" t="s">
        <v>28</v>
      </c>
      <c r="I153" s="5">
        <v>44972</v>
      </c>
    </row>
    <row r="154" spans="1:10" x14ac:dyDescent="0.3">
      <c r="A154" t="str">
        <f>IF($C154="","",Dashboard!$B$3)</f>
        <v>Kelly</v>
      </c>
      <c r="B154" t="str">
        <f t="shared" si="2"/>
        <v>FEBRUARY</v>
      </c>
      <c r="C154" t="s">
        <v>68</v>
      </c>
      <c r="D154" s="6">
        <v>11162</v>
      </c>
      <c r="E154" t="s">
        <v>21</v>
      </c>
      <c r="F154" s="14">
        <v>1</v>
      </c>
      <c r="G154" s="6">
        <v>11162</v>
      </c>
      <c r="H154" t="s">
        <v>28</v>
      </c>
      <c r="I154" s="5">
        <v>44972</v>
      </c>
    </row>
    <row r="155" spans="1:10" x14ac:dyDescent="0.3">
      <c r="A155" t="str">
        <f>IF($C155="","",Dashboard!$B$3)</f>
        <v>Kelly</v>
      </c>
      <c r="B155" t="str">
        <f t="shared" si="2"/>
        <v>FEBRUARY</v>
      </c>
      <c r="C155" t="s">
        <v>69</v>
      </c>
      <c r="D155" s="6">
        <v>10232</v>
      </c>
      <c r="E155" t="s">
        <v>21</v>
      </c>
      <c r="F155" s="14">
        <v>1</v>
      </c>
      <c r="G155" s="6">
        <v>10232</v>
      </c>
      <c r="H155" t="s">
        <v>36</v>
      </c>
      <c r="I155" s="5">
        <v>44972</v>
      </c>
    </row>
    <row r="156" spans="1:10" x14ac:dyDescent="0.3">
      <c r="A156" t="str">
        <f>IF($C156="","",Dashboard!$B$3)</f>
        <v>Kelly</v>
      </c>
      <c r="B156" t="str">
        <f t="shared" si="2"/>
        <v>FEBRUARY</v>
      </c>
      <c r="C156" t="s">
        <v>70</v>
      </c>
      <c r="D156" s="6">
        <v>10144</v>
      </c>
      <c r="E156" t="s">
        <v>21</v>
      </c>
      <c r="F156" s="14">
        <v>1</v>
      </c>
      <c r="G156" s="6">
        <v>10144</v>
      </c>
      <c r="H156" t="s">
        <v>36</v>
      </c>
      <c r="I156" s="5">
        <v>44972</v>
      </c>
    </row>
    <row r="157" spans="1:10" x14ac:dyDescent="0.3">
      <c r="A157" t="str">
        <f>IF($C157="","",Dashboard!$B$3)</f>
        <v>Kelly</v>
      </c>
      <c r="B157" t="str">
        <f t="shared" si="2"/>
        <v>FEBRUARY</v>
      </c>
      <c r="C157" t="s">
        <v>71</v>
      </c>
      <c r="D157" s="6">
        <v>12920</v>
      </c>
      <c r="E157" t="s">
        <v>21</v>
      </c>
      <c r="F157" s="14">
        <v>1</v>
      </c>
      <c r="G157" s="6">
        <v>12920</v>
      </c>
      <c r="H157" t="s">
        <v>28</v>
      </c>
      <c r="I157" s="5">
        <v>44975</v>
      </c>
    </row>
    <row r="158" spans="1:10" x14ac:dyDescent="0.3">
      <c r="A158" t="str">
        <f>IF($C158="","",Dashboard!$B$3)</f>
        <v>Kelly</v>
      </c>
      <c r="B158" t="str">
        <f t="shared" si="2"/>
        <v>FEBRUARY</v>
      </c>
      <c r="C158" t="s">
        <v>72</v>
      </c>
      <c r="D158" s="6">
        <v>11319</v>
      </c>
      <c r="E158" t="s">
        <v>21</v>
      </c>
      <c r="F158" s="14">
        <v>1</v>
      </c>
      <c r="G158" s="6">
        <v>11319</v>
      </c>
      <c r="H158" t="s">
        <v>28</v>
      </c>
      <c r="I158" s="5">
        <v>44975</v>
      </c>
    </row>
    <row r="159" spans="1:10" x14ac:dyDescent="0.3">
      <c r="A159" t="str">
        <f>IF($C159="","",Dashboard!$B$3)</f>
        <v>Kelly</v>
      </c>
      <c r="B159" t="str">
        <f t="shared" si="2"/>
        <v>FEBRUARY</v>
      </c>
      <c r="C159" t="s">
        <v>57</v>
      </c>
      <c r="D159" s="6">
        <v>17445</v>
      </c>
      <c r="E159" t="s">
        <v>21</v>
      </c>
      <c r="F159" s="14">
        <v>1</v>
      </c>
      <c r="G159" s="6">
        <v>17445</v>
      </c>
      <c r="H159" t="s">
        <v>36</v>
      </c>
      <c r="I159" s="5">
        <v>44975</v>
      </c>
    </row>
    <row r="160" spans="1:10" x14ac:dyDescent="0.3">
      <c r="A160" t="str">
        <f>IF($C160="","",Dashboard!$B$3)</f>
        <v>Kelly</v>
      </c>
      <c r="B160" t="str">
        <f t="shared" si="2"/>
        <v>FEBRUARY</v>
      </c>
      <c r="C160" t="s">
        <v>73</v>
      </c>
      <c r="D160" s="6">
        <v>5244</v>
      </c>
      <c r="E160" t="s">
        <v>21</v>
      </c>
      <c r="F160" s="14">
        <v>1</v>
      </c>
      <c r="G160" s="6">
        <v>5244</v>
      </c>
      <c r="H160" t="s">
        <v>36</v>
      </c>
      <c r="I160" s="5">
        <v>44975</v>
      </c>
    </row>
    <row r="161" spans="1:9" x14ac:dyDescent="0.3">
      <c r="A161" t="str">
        <f>IF($C161="","",Dashboard!$B$3)</f>
        <v>Kelly</v>
      </c>
      <c r="B161" t="str">
        <f t="shared" si="2"/>
        <v>FEBRUARY</v>
      </c>
      <c r="C161" t="s">
        <v>74</v>
      </c>
      <c r="D161" s="6">
        <v>9648</v>
      </c>
      <c r="E161" t="s">
        <v>21</v>
      </c>
      <c r="F161" s="14">
        <v>1</v>
      </c>
      <c r="G161" s="6">
        <v>9648</v>
      </c>
      <c r="H161" t="s">
        <v>14</v>
      </c>
      <c r="I161" s="5">
        <v>44975</v>
      </c>
    </row>
    <row r="162" spans="1:9" x14ac:dyDescent="0.3">
      <c r="A162" t="str">
        <f>IF($C162="","",Dashboard!$B$3)</f>
        <v>Kelly</v>
      </c>
      <c r="B162" t="str">
        <f t="shared" si="2"/>
        <v>FEBRUARY</v>
      </c>
      <c r="C162" t="s">
        <v>76</v>
      </c>
      <c r="D162" s="6">
        <v>14746</v>
      </c>
      <c r="E162" t="s">
        <v>21</v>
      </c>
      <c r="F162" s="14">
        <v>1</v>
      </c>
      <c r="G162" s="6">
        <v>14746</v>
      </c>
      <c r="H162" t="s">
        <v>14</v>
      </c>
      <c r="I162" s="5">
        <v>44977</v>
      </c>
    </row>
    <row r="163" spans="1:9" x14ac:dyDescent="0.3">
      <c r="A163" t="str">
        <f>IF($C163="","",Dashboard!$B$3)</f>
        <v>Kelly</v>
      </c>
      <c r="B163" t="str">
        <f t="shared" si="2"/>
        <v>FEBRUARY</v>
      </c>
      <c r="C163" t="s">
        <v>77</v>
      </c>
      <c r="D163" s="6">
        <v>16549</v>
      </c>
      <c r="E163" t="s">
        <v>21</v>
      </c>
      <c r="F163" s="14">
        <v>1</v>
      </c>
      <c r="G163" s="6">
        <v>16549</v>
      </c>
      <c r="H163" t="s">
        <v>28</v>
      </c>
      <c r="I163" s="5">
        <v>44982</v>
      </c>
    </row>
    <row r="164" spans="1:9" x14ac:dyDescent="0.3">
      <c r="A164" t="str">
        <f>IF($C164="","",Dashboard!$B$3)</f>
        <v>Kelly</v>
      </c>
      <c r="B164" t="str">
        <f t="shared" si="2"/>
        <v>FEBRUARY</v>
      </c>
      <c r="C164" t="s">
        <v>78</v>
      </c>
      <c r="D164" s="6">
        <v>12285</v>
      </c>
      <c r="E164" t="s">
        <v>21</v>
      </c>
      <c r="F164" s="14">
        <v>1</v>
      </c>
      <c r="G164" s="6">
        <v>12285</v>
      </c>
      <c r="H164" t="s">
        <v>28</v>
      </c>
      <c r="I164" s="5">
        <v>44982</v>
      </c>
    </row>
    <row r="165" spans="1:9" x14ac:dyDescent="0.3">
      <c r="A165" t="str">
        <f>IF($C165="","",Dashboard!$B$3)</f>
        <v>Kelly</v>
      </c>
      <c r="B165" t="str">
        <f t="shared" si="2"/>
        <v>MARCH</v>
      </c>
      <c r="C165" t="s">
        <v>82</v>
      </c>
      <c r="D165" s="6">
        <v>16723</v>
      </c>
      <c r="E165" t="s">
        <v>21</v>
      </c>
      <c r="F165" s="14">
        <v>1</v>
      </c>
      <c r="G165" s="6">
        <v>16723</v>
      </c>
      <c r="H165" t="s">
        <v>28</v>
      </c>
      <c r="I165" s="5">
        <v>44990</v>
      </c>
    </row>
    <row r="166" spans="1:9" x14ac:dyDescent="0.3">
      <c r="A166" t="str">
        <f>IF($C166="","",Dashboard!$B$3)</f>
        <v>Kelly</v>
      </c>
      <c r="B166" t="str">
        <f t="shared" si="2"/>
        <v>MARCH</v>
      </c>
      <c r="C166" t="s">
        <v>83</v>
      </c>
      <c r="D166" s="6">
        <v>19323</v>
      </c>
      <c r="E166" t="s">
        <v>21</v>
      </c>
      <c r="F166" s="14">
        <v>1</v>
      </c>
      <c r="G166" s="6">
        <v>19323</v>
      </c>
      <c r="H166" t="s">
        <v>28</v>
      </c>
      <c r="I166" s="5">
        <v>44990</v>
      </c>
    </row>
    <row r="167" spans="1:9" x14ac:dyDescent="0.3">
      <c r="A167" t="str">
        <f>IF($C167="","",Dashboard!$B$3)</f>
        <v>Kelly</v>
      </c>
      <c r="B167" t="str">
        <f t="shared" si="2"/>
        <v>MARCH</v>
      </c>
      <c r="C167" t="s">
        <v>84</v>
      </c>
      <c r="D167" s="6">
        <v>15344</v>
      </c>
      <c r="E167" t="s">
        <v>21</v>
      </c>
      <c r="F167" s="14">
        <v>1</v>
      </c>
      <c r="G167" s="6">
        <v>15344</v>
      </c>
      <c r="H167" t="s">
        <v>36</v>
      </c>
      <c r="I167" s="5">
        <v>44990</v>
      </c>
    </row>
    <row r="168" spans="1:9" x14ac:dyDescent="0.3">
      <c r="A168" t="str">
        <f>IF($C168="","",Dashboard!$B$3)</f>
        <v>Kelly</v>
      </c>
      <c r="B168" t="str">
        <f t="shared" si="2"/>
        <v>MARCH</v>
      </c>
      <c r="C168" t="s">
        <v>85</v>
      </c>
      <c r="D168" s="6">
        <v>19134</v>
      </c>
      <c r="E168" t="s">
        <v>21</v>
      </c>
      <c r="F168" s="14">
        <v>1</v>
      </c>
      <c r="G168" s="6">
        <v>19134</v>
      </c>
      <c r="H168" t="s">
        <v>14</v>
      </c>
      <c r="I168" s="5">
        <v>44990</v>
      </c>
    </row>
    <row r="169" spans="1:9" x14ac:dyDescent="0.3">
      <c r="A169" t="str">
        <f>IF($C169="","",Dashboard!$B$3)</f>
        <v>Kelly</v>
      </c>
      <c r="B169" t="str">
        <f t="shared" si="2"/>
        <v>MARCH</v>
      </c>
      <c r="C169" t="s">
        <v>86</v>
      </c>
      <c r="D169" s="6">
        <v>18910</v>
      </c>
      <c r="E169" t="s">
        <v>21</v>
      </c>
      <c r="F169" s="14">
        <v>1</v>
      </c>
      <c r="G169" s="6">
        <v>18910</v>
      </c>
      <c r="H169" t="s">
        <v>28</v>
      </c>
      <c r="I169" s="5">
        <v>44995</v>
      </c>
    </row>
    <row r="170" spans="1:9" x14ac:dyDescent="0.3">
      <c r="A170" t="str">
        <f>IF($C170="","",Dashboard!$B$3)</f>
        <v>Kelly</v>
      </c>
      <c r="B170" t="str">
        <f t="shared" si="2"/>
        <v>MARCH</v>
      </c>
      <c r="C170" t="s">
        <v>89</v>
      </c>
      <c r="D170" s="6">
        <v>9556</v>
      </c>
      <c r="E170" t="s">
        <v>21</v>
      </c>
      <c r="F170" s="14">
        <v>1</v>
      </c>
      <c r="G170" s="6">
        <v>9556</v>
      </c>
      <c r="H170" t="s">
        <v>28</v>
      </c>
      <c r="I170" s="5">
        <v>45000</v>
      </c>
    </row>
    <row r="171" spans="1:9" x14ac:dyDescent="0.3">
      <c r="A171" t="str">
        <f>IF($C171="","",Dashboard!$B$3)</f>
        <v>Kelly</v>
      </c>
      <c r="B171" t="str">
        <f t="shared" si="2"/>
        <v>MARCH</v>
      </c>
      <c r="C171" t="s">
        <v>90</v>
      </c>
      <c r="D171" s="6">
        <v>14746</v>
      </c>
      <c r="E171" t="s">
        <v>21</v>
      </c>
      <c r="F171" s="14">
        <v>1</v>
      </c>
      <c r="G171" s="6">
        <v>14746</v>
      </c>
      <c r="H171" t="s">
        <v>36</v>
      </c>
      <c r="I171" s="5">
        <v>45000</v>
      </c>
    </row>
    <row r="172" spans="1:9" x14ac:dyDescent="0.3">
      <c r="A172" t="str">
        <f>IF($C172="","",Dashboard!$B$3)</f>
        <v>Kelly</v>
      </c>
      <c r="B172" t="str">
        <f t="shared" si="2"/>
        <v>MARCH</v>
      </c>
      <c r="C172" t="s">
        <v>91</v>
      </c>
      <c r="D172" s="6">
        <v>16549</v>
      </c>
      <c r="E172" t="s">
        <v>21</v>
      </c>
      <c r="F172" s="14">
        <v>1</v>
      </c>
      <c r="G172" s="6">
        <v>16549</v>
      </c>
      <c r="H172" t="s">
        <v>14</v>
      </c>
      <c r="I172" s="5">
        <v>45000</v>
      </c>
    </row>
    <row r="173" spans="1:9" x14ac:dyDescent="0.3">
      <c r="A173" t="str">
        <f>IF($C173="","",Dashboard!$B$3)</f>
        <v>Kelly</v>
      </c>
      <c r="B173" t="str">
        <f t="shared" si="2"/>
        <v>MARCH</v>
      </c>
      <c r="C173" t="s">
        <v>92</v>
      </c>
      <c r="D173" s="6">
        <v>10768</v>
      </c>
      <c r="E173" t="s">
        <v>21</v>
      </c>
      <c r="F173" s="14">
        <v>1</v>
      </c>
      <c r="G173" s="6">
        <v>10768</v>
      </c>
      <c r="H173" t="s">
        <v>28</v>
      </c>
      <c r="I173" s="5">
        <v>45003</v>
      </c>
    </row>
    <row r="174" spans="1:9" x14ac:dyDescent="0.3">
      <c r="A174" t="str">
        <f>IF($C174="","",Dashboard!$B$3)</f>
        <v>Kelly</v>
      </c>
      <c r="B174" t="str">
        <f t="shared" si="2"/>
        <v>MARCH</v>
      </c>
      <c r="C174" t="s">
        <v>93</v>
      </c>
      <c r="D174" s="6">
        <v>15822</v>
      </c>
      <c r="E174" t="s">
        <v>21</v>
      </c>
      <c r="F174" s="14">
        <v>1</v>
      </c>
      <c r="G174" s="6">
        <v>15822</v>
      </c>
      <c r="H174" t="s">
        <v>36</v>
      </c>
      <c r="I174" s="5">
        <v>45003</v>
      </c>
    </row>
    <row r="175" spans="1:9" x14ac:dyDescent="0.3">
      <c r="A175" t="str">
        <f>IF($C175="","",Dashboard!$B$3)</f>
        <v>Kelly</v>
      </c>
      <c r="B175" t="str">
        <f t="shared" si="2"/>
        <v>MARCH</v>
      </c>
      <c r="C175" t="s">
        <v>95</v>
      </c>
      <c r="D175" s="6">
        <v>19323</v>
      </c>
      <c r="E175" t="s">
        <v>21</v>
      </c>
      <c r="F175" s="14">
        <v>1</v>
      </c>
      <c r="G175" s="6">
        <v>19323</v>
      </c>
      <c r="H175" t="s">
        <v>28</v>
      </c>
      <c r="I175" s="5">
        <v>45006</v>
      </c>
    </row>
    <row r="176" spans="1:9" x14ac:dyDescent="0.3">
      <c r="A176" t="str">
        <f>IF($C176="","",Dashboard!$B$3)</f>
        <v>Kelly</v>
      </c>
      <c r="B176" t="str">
        <f t="shared" si="2"/>
        <v>MARCH</v>
      </c>
      <c r="C176" t="s">
        <v>96</v>
      </c>
      <c r="D176" s="6">
        <v>15344</v>
      </c>
      <c r="E176" t="s">
        <v>21</v>
      </c>
      <c r="F176" s="14">
        <v>1</v>
      </c>
      <c r="G176" s="6">
        <v>15344</v>
      </c>
      <c r="H176" t="s">
        <v>28</v>
      </c>
      <c r="I176" s="5">
        <v>45007</v>
      </c>
    </row>
    <row r="177" spans="1:10" x14ac:dyDescent="0.3">
      <c r="A177" t="str">
        <f>IF($C177="","",Dashboard!$B$3)</f>
        <v>Kelly</v>
      </c>
      <c r="B177" t="str">
        <f t="shared" si="2"/>
        <v>MARCH</v>
      </c>
      <c r="C177" t="s">
        <v>98</v>
      </c>
      <c r="D177" s="6">
        <v>18910</v>
      </c>
      <c r="E177" t="s">
        <v>21</v>
      </c>
      <c r="F177" s="14">
        <v>1</v>
      </c>
      <c r="G177" s="6">
        <v>18910</v>
      </c>
      <c r="H177" t="s">
        <v>36</v>
      </c>
      <c r="I177" s="5">
        <v>45008</v>
      </c>
    </row>
    <row r="178" spans="1:10" x14ac:dyDescent="0.3">
      <c r="A178" t="str">
        <f>IF($C178="","",Dashboard!$B$3)</f>
        <v>Kelly</v>
      </c>
      <c r="B178" t="str">
        <f t="shared" si="2"/>
        <v>APRIL</v>
      </c>
      <c r="C178" t="s">
        <v>100</v>
      </c>
      <c r="D178" s="6">
        <v>18892</v>
      </c>
      <c r="E178" t="s">
        <v>21</v>
      </c>
      <c r="F178" s="14">
        <v>1</v>
      </c>
      <c r="G178" s="6">
        <v>18892</v>
      </c>
      <c r="H178" t="s">
        <v>14</v>
      </c>
      <c r="I178" s="5">
        <v>45018</v>
      </c>
    </row>
    <row r="179" spans="1:10" x14ac:dyDescent="0.3">
      <c r="A179" t="str">
        <f>IF($C179="","",Dashboard!$B$3)</f>
        <v>Kelly</v>
      </c>
      <c r="B179" t="str">
        <f t="shared" si="2"/>
        <v>APRIL</v>
      </c>
      <c r="C179" t="s">
        <v>102</v>
      </c>
      <c r="D179" s="6">
        <v>9556</v>
      </c>
      <c r="E179" t="s">
        <v>21</v>
      </c>
      <c r="F179" s="14">
        <v>1</v>
      </c>
      <c r="G179" s="6">
        <v>9556</v>
      </c>
      <c r="H179" t="s">
        <v>28</v>
      </c>
      <c r="I179" s="5">
        <v>45021</v>
      </c>
    </row>
    <row r="180" spans="1:10" x14ac:dyDescent="0.3">
      <c r="A180" t="str">
        <f>IF($C180="","",Dashboard!$B$3)</f>
        <v>Kelly</v>
      </c>
      <c r="B180" t="str">
        <f t="shared" si="2"/>
        <v>APRIL</v>
      </c>
      <c r="C180" t="s">
        <v>103</v>
      </c>
      <c r="D180" s="6">
        <v>8200.7999999999993</v>
      </c>
      <c r="E180" t="s">
        <v>21</v>
      </c>
      <c r="F180" s="14">
        <v>1</v>
      </c>
      <c r="G180" s="6">
        <v>8200.7999999999993</v>
      </c>
      <c r="H180" t="s">
        <v>28</v>
      </c>
      <c r="I180" s="5">
        <v>45028</v>
      </c>
    </row>
    <row r="181" spans="1:10" x14ac:dyDescent="0.3">
      <c r="A181" t="str">
        <f>IF($C181="","",Dashboard!$B$3)</f>
        <v>Kelly</v>
      </c>
      <c r="B181" t="str">
        <f t="shared" si="2"/>
        <v>APRIL</v>
      </c>
      <c r="C181" t="s">
        <v>104</v>
      </c>
      <c r="D181" s="6">
        <v>9510.65</v>
      </c>
      <c r="E181" t="s">
        <v>21</v>
      </c>
      <c r="F181" s="14">
        <v>1</v>
      </c>
      <c r="G181" s="6">
        <v>9510.65</v>
      </c>
      <c r="H181" t="s">
        <v>28</v>
      </c>
      <c r="I181" s="5">
        <v>45028</v>
      </c>
    </row>
    <row r="182" spans="1:10" x14ac:dyDescent="0.3">
      <c r="A182" t="str">
        <f>IF($C182="","",Dashboard!$B$3)</f>
        <v>Kelly</v>
      </c>
      <c r="B182" t="str">
        <f t="shared" si="2"/>
        <v>APRIL</v>
      </c>
      <c r="C182" t="s">
        <v>106</v>
      </c>
      <c r="D182" s="6">
        <v>14066.65</v>
      </c>
      <c r="E182" t="s">
        <v>21</v>
      </c>
      <c r="F182" s="14">
        <v>1</v>
      </c>
      <c r="G182" s="6">
        <v>14066.65</v>
      </c>
      <c r="H182" t="s">
        <v>28</v>
      </c>
      <c r="I182" s="5">
        <v>45031</v>
      </c>
    </row>
    <row r="183" spans="1:10" x14ac:dyDescent="0.3">
      <c r="A183" t="str">
        <f>IF($C183="","",Dashboard!$B$3)</f>
        <v>Kelly</v>
      </c>
      <c r="B183" t="str">
        <f t="shared" si="2"/>
        <v>APRIL</v>
      </c>
      <c r="C183" t="s">
        <v>107</v>
      </c>
      <c r="D183" s="6">
        <v>10442.25</v>
      </c>
      <c r="E183" t="s">
        <v>21</v>
      </c>
      <c r="F183" s="14">
        <v>1</v>
      </c>
      <c r="G183" s="6">
        <v>10442.25</v>
      </c>
      <c r="H183" t="s">
        <v>36</v>
      </c>
      <c r="I183" s="5">
        <v>45031</v>
      </c>
    </row>
    <row r="184" spans="1:10" x14ac:dyDescent="0.3">
      <c r="A184" t="str">
        <f>IF($C184="","",Dashboard!$B$3)</f>
        <v>Kelly</v>
      </c>
      <c r="B184" t="str">
        <f t="shared" si="2"/>
        <v>APRIL</v>
      </c>
      <c r="C184" t="s">
        <v>109</v>
      </c>
      <c r="D184" s="6">
        <v>13448.7</v>
      </c>
      <c r="E184" t="s">
        <v>21</v>
      </c>
      <c r="F184" s="14">
        <v>1</v>
      </c>
      <c r="G184" s="6">
        <v>13448.7</v>
      </c>
      <c r="H184" t="s">
        <v>36</v>
      </c>
      <c r="I184" s="5">
        <v>45034</v>
      </c>
      <c r="J184" s="1" t="s">
        <v>110</v>
      </c>
    </row>
    <row r="185" spans="1:10" x14ac:dyDescent="0.3">
      <c r="A185" t="str">
        <f>IF($C185="","",Dashboard!$B$3)</f>
        <v>Kelly</v>
      </c>
      <c r="B185" t="str">
        <f t="shared" si="2"/>
        <v>APRIL</v>
      </c>
      <c r="C185" t="s">
        <v>112</v>
      </c>
      <c r="D185" s="6">
        <v>16424.55</v>
      </c>
      <c r="E185" t="s">
        <v>21</v>
      </c>
      <c r="F185" s="14">
        <v>1</v>
      </c>
      <c r="G185" s="6">
        <v>16424.55</v>
      </c>
      <c r="H185" t="s">
        <v>28</v>
      </c>
      <c r="I185" s="5">
        <v>45036</v>
      </c>
    </row>
    <row r="186" spans="1:10" x14ac:dyDescent="0.3">
      <c r="A186" t="str">
        <f>IF($C186="","",Dashboard!$B$3)</f>
        <v>Kelly</v>
      </c>
      <c r="B186" t="str">
        <f t="shared" si="2"/>
        <v>APRIL</v>
      </c>
      <c r="C186" t="s">
        <v>114</v>
      </c>
      <c r="D186" s="6">
        <v>16263.9</v>
      </c>
      <c r="E186" t="s">
        <v>21</v>
      </c>
      <c r="F186" s="14">
        <v>1</v>
      </c>
      <c r="G186" s="6">
        <v>16263.9</v>
      </c>
      <c r="H186" t="s">
        <v>36</v>
      </c>
      <c r="I186" s="5">
        <v>45038</v>
      </c>
    </row>
    <row r="187" spans="1:10" x14ac:dyDescent="0.3">
      <c r="A187" t="str">
        <f>IF($C187="","",Dashboard!$B$3)</f>
        <v>Kelly</v>
      </c>
      <c r="B187" t="str">
        <f t="shared" si="2"/>
        <v>APRIL</v>
      </c>
      <c r="C187" t="s">
        <v>107</v>
      </c>
      <c r="D187" s="6">
        <v>16073.5</v>
      </c>
      <c r="E187" t="s">
        <v>21</v>
      </c>
      <c r="F187" s="14">
        <v>1</v>
      </c>
      <c r="G187" s="6">
        <v>16073.5</v>
      </c>
      <c r="H187" t="s">
        <v>36</v>
      </c>
      <c r="I187" s="5">
        <v>45039</v>
      </c>
    </row>
    <row r="188" spans="1:10" x14ac:dyDescent="0.3">
      <c r="A188" t="str">
        <f>IF($C188="","",Dashboard!$B$3)</f>
        <v>Kelly</v>
      </c>
      <c r="B188" t="str">
        <f t="shared" si="2"/>
        <v>APRIL</v>
      </c>
      <c r="C188" t="s">
        <v>115</v>
      </c>
      <c r="D188" s="6">
        <v>16058.2</v>
      </c>
      <c r="E188" t="s">
        <v>21</v>
      </c>
      <c r="F188" s="14">
        <v>1</v>
      </c>
      <c r="G188" s="6">
        <v>16058.2</v>
      </c>
      <c r="H188" t="s">
        <v>28</v>
      </c>
      <c r="I188" s="5">
        <v>45041</v>
      </c>
      <c r="J188" s="1" t="s">
        <v>116</v>
      </c>
    </row>
    <row r="189" spans="1:10" x14ac:dyDescent="0.3">
      <c r="A189" t="str">
        <f>IF($C189="","",Dashboard!$B$3)</f>
        <v>Kelly</v>
      </c>
      <c r="B189" t="str">
        <f t="shared" si="2"/>
        <v>MAY</v>
      </c>
      <c r="C189" t="s">
        <v>122</v>
      </c>
      <c r="D189" s="6">
        <v>13448.7</v>
      </c>
      <c r="E189" t="s">
        <v>21</v>
      </c>
      <c r="F189" s="14">
        <v>1</v>
      </c>
      <c r="G189" s="6">
        <v>13448.7</v>
      </c>
      <c r="H189" t="s">
        <v>36</v>
      </c>
      <c r="I189" s="5">
        <v>45047</v>
      </c>
    </row>
    <row r="190" spans="1:10" x14ac:dyDescent="0.3">
      <c r="A190" t="str">
        <f>IF($C190="","",Dashboard!$B$3)</f>
        <v>Kelly</v>
      </c>
      <c r="B190" t="str">
        <f t="shared" si="2"/>
        <v>MAY</v>
      </c>
      <c r="C190" t="s">
        <v>123</v>
      </c>
      <c r="D190" s="6">
        <v>14214.55</v>
      </c>
      <c r="E190" t="s">
        <v>21</v>
      </c>
      <c r="F190" s="14">
        <v>1</v>
      </c>
      <c r="G190" s="6">
        <v>14214.55</v>
      </c>
      <c r="H190" t="s">
        <v>28</v>
      </c>
      <c r="I190" s="5">
        <v>45056</v>
      </c>
    </row>
    <row r="191" spans="1:10" x14ac:dyDescent="0.3">
      <c r="A191" t="str">
        <f>IF($C191="","",Dashboard!$B$3)</f>
        <v>Kelly</v>
      </c>
      <c r="B191" t="str">
        <f t="shared" si="2"/>
        <v>MAY</v>
      </c>
      <c r="C191" t="s">
        <v>124</v>
      </c>
      <c r="D191" s="6">
        <v>16424.55</v>
      </c>
      <c r="E191" t="s">
        <v>21</v>
      </c>
      <c r="F191" s="14">
        <v>1</v>
      </c>
      <c r="G191" s="6">
        <v>16424.55</v>
      </c>
      <c r="H191" t="s">
        <v>28</v>
      </c>
      <c r="I191" s="5">
        <v>45056</v>
      </c>
    </row>
    <row r="192" spans="1:10" x14ac:dyDescent="0.3">
      <c r="A192" t="str">
        <f>IF($C192="","",Dashboard!$B$3)</f>
        <v>Kelly</v>
      </c>
      <c r="B192" t="str">
        <f t="shared" si="2"/>
        <v>MAY</v>
      </c>
      <c r="C192" t="s">
        <v>125</v>
      </c>
      <c r="D192" s="6">
        <v>13042.4</v>
      </c>
      <c r="E192" t="s">
        <v>21</v>
      </c>
      <c r="F192" s="14">
        <v>1</v>
      </c>
      <c r="G192" s="6">
        <v>13042.4</v>
      </c>
      <c r="H192" t="s">
        <v>28</v>
      </c>
      <c r="I192" s="5">
        <v>45061</v>
      </c>
    </row>
    <row r="193" spans="1:9" x14ac:dyDescent="0.3">
      <c r="A193" t="str">
        <f>IF($C193="","",Dashboard!$B$3)</f>
        <v>Kelly</v>
      </c>
      <c r="B193" t="str">
        <f t="shared" si="2"/>
        <v>MAY</v>
      </c>
      <c r="C193" t="s">
        <v>126</v>
      </c>
      <c r="D193" s="6">
        <v>16263.9</v>
      </c>
      <c r="E193" t="s">
        <v>21</v>
      </c>
      <c r="F193" s="14">
        <v>1</v>
      </c>
      <c r="G193" s="6">
        <v>16263.9</v>
      </c>
      <c r="H193" t="s">
        <v>28</v>
      </c>
      <c r="I193" s="5">
        <v>45061</v>
      </c>
    </row>
    <row r="194" spans="1:9" x14ac:dyDescent="0.3">
      <c r="A194" t="str">
        <f>IF($C194="","",Dashboard!$B$3)</f>
        <v>Kelly</v>
      </c>
      <c r="B194" t="str">
        <f t="shared" si="2"/>
        <v>MAY</v>
      </c>
      <c r="C194" t="s">
        <v>127</v>
      </c>
      <c r="D194" s="6">
        <v>16073.5</v>
      </c>
      <c r="E194" t="s">
        <v>21</v>
      </c>
      <c r="F194" s="14">
        <v>1</v>
      </c>
      <c r="G194" s="6">
        <v>16073.5</v>
      </c>
      <c r="H194" t="s">
        <v>36</v>
      </c>
      <c r="I194" s="5">
        <v>45061</v>
      </c>
    </row>
    <row r="195" spans="1:9" x14ac:dyDescent="0.3">
      <c r="A195" t="str">
        <f>IF($C195="","",Dashboard!$B$3)</f>
        <v>Kelly</v>
      </c>
      <c r="B195" t="str">
        <f t="shared" ref="B195:B244" si="3">IF($I195="","",UPPER(TEXT($I195,"mmmm")))</f>
        <v>MAY</v>
      </c>
      <c r="C195" t="s">
        <v>128</v>
      </c>
      <c r="D195" s="6">
        <v>16058.2</v>
      </c>
      <c r="E195" t="s">
        <v>21</v>
      </c>
      <c r="F195" s="14">
        <v>1</v>
      </c>
      <c r="G195" s="6">
        <v>16058.2</v>
      </c>
      <c r="H195" t="s">
        <v>36</v>
      </c>
      <c r="I195" s="5">
        <v>45066</v>
      </c>
    </row>
    <row r="196" spans="1:9" x14ac:dyDescent="0.3">
      <c r="A196" t="str">
        <f>IF($C196="","",Dashboard!$B$3)</f>
        <v>Kelly</v>
      </c>
      <c r="B196" t="str">
        <f t="shared" si="3"/>
        <v>MAY</v>
      </c>
      <c r="C196" t="s">
        <v>130</v>
      </c>
      <c r="D196" s="6">
        <v>6584.9</v>
      </c>
      <c r="E196" t="s">
        <v>21</v>
      </c>
      <c r="F196" s="14">
        <v>1</v>
      </c>
      <c r="G196" s="6">
        <v>6584.9</v>
      </c>
      <c r="H196" t="s">
        <v>28</v>
      </c>
      <c r="I196" s="5">
        <v>45076</v>
      </c>
    </row>
    <row r="197" spans="1:9" x14ac:dyDescent="0.3">
      <c r="A197" t="str">
        <f>IF($C197="","",Dashboard!$B$3)</f>
        <v>Kelly</v>
      </c>
      <c r="B197" t="str">
        <f t="shared" si="3"/>
        <v>MAY</v>
      </c>
      <c r="C197" t="s">
        <v>131</v>
      </c>
      <c r="D197" s="6">
        <v>11084.85</v>
      </c>
      <c r="E197" t="s">
        <v>21</v>
      </c>
      <c r="F197" s="14">
        <v>1</v>
      </c>
      <c r="G197" s="6">
        <v>11084.85</v>
      </c>
      <c r="H197" t="s">
        <v>28</v>
      </c>
      <c r="I197" s="5">
        <v>45076</v>
      </c>
    </row>
    <row r="198" spans="1:9" x14ac:dyDescent="0.3">
      <c r="A198" t="str">
        <f>IF($C198="","",Dashboard!$B$3)</f>
        <v>Kelly</v>
      </c>
      <c r="B198" t="str">
        <f t="shared" si="3"/>
        <v>MAY</v>
      </c>
      <c r="C198" t="s">
        <v>132</v>
      </c>
      <c r="D198" s="6">
        <v>14569.35</v>
      </c>
      <c r="E198" t="s">
        <v>21</v>
      </c>
      <c r="F198" s="14">
        <v>1</v>
      </c>
      <c r="G198" s="6">
        <v>14569.35</v>
      </c>
      <c r="H198" t="s">
        <v>28</v>
      </c>
      <c r="I198" s="5">
        <v>45076</v>
      </c>
    </row>
    <row r="199" spans="1:9" x14ac:dyDescent="0.3">
      <c r="A199" t="str">
        <f>IF($C199="","",Dashboard!$B$3)</f>
        <v>Kelly</v>
      </c>
      <c r="B199" t="str">
        <f t="shared" si="3"/>
        <v>MAY</v>
      </c>
      <c r="C199" t="s">
        <v>133</v>
      </c>
      <c r="D199" s="6">
        <v>9489.7999999999993</v>
      </c>
      <c r="E199" t="s">
        <v>21</v>
      </c>
      <c r="F199" s="14">
        <v>1</v>
      </c>
      <c r="G199" s="6">
        <v>9489.7999999999993</v>
      </c>
      <c r="H199" t="s">
        <v>28</v>
      </c>
      <c r="I199" s="5">
        <v>45076</v>
      </c>
    </row>
    <row r="200" spans="1:9" x14ac:dyDescent="0.3">
      <c r="A200" t="str">
        <f>IF($C200="","",Dashboard!$B$3)</f>
        <v>Kelly</v>
      </c>
      <c r="B200" t="str">
        <f t="shared" si="3"/>
        <v>JUNE</v>
      </c>
      <c r="C200" t="s">
        <v>137</v>
      </c>
      <c r="D200" s="6">
        <v>17151.099999999999</v>
      </c>
      <c r="E200" t="s">
        <v>21</v>
      </c>
      <c r="F200" s="14">
        <v>1</v>
      </c>
      <c r="G200" s="6">
        <v>17151.099999999999</v>
      </c>
      <c r="H200" t="s">
        <v>36</v>
      </c>
      <c r="I200" s="5">
        <v>45078</v>
      </c>
    </row>
    <row r="201" spans="1:9" x14ac:dyDescent="0.3">
      <c r="A201" t="str">
        <f>IF($C201="","",Dashboard!$B$3)</f>
        <v>Kelly</v>
      </c>
      <c r="B201" t="str">
        <f t="shared" si="3"/>
        <v>JUNE</v>
      </c>
      <c r="C201" t="s">
        <v>138</v>
      </c>
      <c r="D201" s="6">
        <v>11642.6</v>
      </c>
      <c r="E201" t="s">
        <v>21</v>
      </c>
      <c r="F201" s="14">
        <v>1</v>
      </c>
      <c r="G201" s="6">
        <v>11642.6</v>
      </c>
      <c r="H201" t="s">
        <v>14</v>
      </c>
      <c r="I201" s="5">
        <v>45078</v>
      </c>
    </row>
    <row r="202" spans="1:9" x14ac:dyDescent="0.3">
      <c r="A202" t="str">
        <f>IF($C202="","",Dashboard!$B$3)</f>
        <v>Kelly</v>
      </c>
      <c r="B202" t="str">
        <f t="shared" si="3"/>
        <v>JUNE</v>
      </c>
      <c r="C202" t="s">
        <v>141</v>
      </c>
      <c r="D202" s="6">
        <v>8984.9500000000007</v>
      </c>
      <c r="E202" t="s">
        <v>21</v>
      </c>
      <c r="F202" s="14">
        <v>1</v>
      </c>
      <c r="G202" s="6">
        <v>8984.9500000000007</v>
      </c>
      <c r="H202" t="s">
        <v>14</v>
      </c>
      <c r="I202" s="5">
        <v>45082</v>
      </c>
    </row>
    <row r="203" spans="1:9" x14ac:dyDescent="0.3">
      <c r="A203" t="str">
        <f>IF($C203="","",Dashboard!$B$3)</f>
        <v>Kelly</v>
      </c>
      <c r="B203" t="str">
        <f t="shared" si="3"/>
        <v>JUNE</v>
      </c>
      <c r="C203" t="s">
        <v>142</v>
      </c>
      <c r="D203" s="6">
        <v>12836.3</v>
      </c>
      <c r="E203" t="s">
        <v>21</v>
      </c>
      <c r="F203" s="14">
        <v>1</v>
      </c>
      <c r="G203" s="6">
        <v>12836.3</v>
      </c>
      <c r="H203" t="s">
        <v>36</v>
      </c>
      <c r="I203" s="5">
        <v>45085</v>
      </c>
    </row>
    <row r="204" spans="1:9" x14ac:dyDescent="0.3">
      <c r="A204" t="str">
        <f>IF($C204="","",Dashboard!$B$3)</f>
        <v>Kelly</v>
      </c>
      <c r="B204" t="str">
        <f t="shared" si="3"/>
        <v>JUNE</v>
      </c>
      <c r="C204" t="s">
        <v>143</v>
      </c>
      <c r="D204" s="6">
        <v>11665.6</v>
      </c>
      <c r="E204" t="s">
        <v>21</v>
      </c>
      <c r="F204" s="14">
        <v>1</v>
      </c>
      <c r="G204" s="6">
        <v>11665.6</v>
      </c>
      <c r="H204" t="s">
        <v>28</v>
      </c>
      <c r="I204" s="5">
        <v>45087</v>
      </c>
    </row>
    <row r="205" spans="1:9" x14ac:dyDescent="0.3">
      <c r="A205" t="str">
        <f>IF($C205="","",Dashboard!$B$3)</f>
        <v>Kelly</v>
      </c>
      <c r="B205" t="str">
        <f t="shared" si="3"/>
        <v>JUNE</v>
      </c>
      <c r="C205" t="s">
        <v>144</v>
      </c>
      <c r="D205" s="6">
        <v>14858</v>
      </c>
      <c r="E205" t="s">
        <v>21</v>
      </c>
      <c r="F205" s="14">
        <v>1</v>
      </c>
      <c r="G205" s="6">
        <v>14858</v>
      </c>
      <c r="H205" t="s">
        <v>28</v>
      </c>
      <c r="I205" s="5">
        <v>45088</v>
      </c>
    </row>
    <row r="206" spans="1:9" x14ac:dyDescent="0.3">
      <c r="A206" t="str">
        <f>IF($C206="","",Dashboard!$B$3)</f>
        <v>Kelly</v>
      </c>
      <c r="B206" t="str">
        <f t="shared" si="3"/>
        <v>JUNE</v>
      </c>
      <c r="C206" t="s">
        <v>145</v>
      </c>
      <c r="D206" s="6">
        <v>13016.85</v>
      </c>
      <c r="E206" t="s">
        <v>21</v>
      </c>
      <c r="F206" s="14">
        <v>1</v>
      </c>
      <c r="G206" s="6">
        <v>13016.85</v>
      </c>
      <c r="H206" t="s">
        <v>36</v>
      </c>
      <c r="I206" s="5">
        <v>45089</v>
      </c>
    </row>
    <row r="207" spans="1:9" x14ac:dyDescent="0.3">
      <c r="A207" t="str">
        <f>IF($C207="","",Dashboard!$B$3)</f>
        <v>Kelly</v>
      </c>
      <c r="B207" t="str">
        <f t="shared" si="3"/>
        <v>JUNE</v>
      </c>
      <c r="C207" t="s">
        <v>147</v>
      </c>
      <c r="D207" s="6">
        <v>6030.6</v>
      </c>
      <c r="E207" t="s">
        <v>21</v>
      </c>
      <c r="F207" s="14">
        <v>1</v>
      </c>
      <c r="G207" s="6">
        <v>6030.6</v>
      </c>
      <c r="H207" t="s">
        <v>36</v>
      </c>
      <c r="I207" s="5">
        <v>45092</v>
      </c>
    </row>
    <row r="208" spans="1:9" x14ac:dyDescent="0.3">
      <c r="A208" t="str">
        <f>IF($C208="","",Dashboard!$B$3)</f>
        <v>Kelly</v>
      </c>
      <c r="B208" t="str">
        <f t="shared" si="3"/>
        <v>JUNE</v>
      </c>
      <c r="C208" t="s">
        <v>148</v>
      </c>
      <c r="D208" s="6">
        <v>12711.24</v>
      </c>
      <c r="E208" t="s">
        <v>21</v>
      </c>
      <c r="F208" s="14">
        <v>1</v>
      </c>
      <c r="G208" s="6">
        <v>12711.24</v>
      </c>
      <c r="H208" t="s">
        <v>36</v>
      </c>
      <c r="I208" s="5">
        <v>45092</v>
      </c>
    </row>
    <row r="209" spans="1:10" x14ac:dyDescent="0.3">
      <c r="A209" t="str">
        <f>IF($C209="","",Dashboard!$B$3)</f>
        <v>Kelly</v>
      </c>
      <c r="B209" t="str">
        <f t="shared" si="3"/>
        <v>JUNE</v>
      </c>
      <c r="C209" t="s">
        <v>150</v>
      </c>
      <c r="D209" s="6">
        <v>21803.31</v>
      </c>
      <c r="E209" t="s">
        <v>21</v>
      </c>
      <c r="F209" s="14">
        <v>1</v>
      </c>
      <c r="G209" s="6">
        <v>21803.31</v>
      </c>
      <c r="H209" t="s">
        <v>28</v>
      </c>
      <c r="I209" s="5">
        <v>45095</v>
      </c>
    </row>
    <row r="210" spans="1:10" x14ac:dyDescent="0.3">
      <c r="A210" t="str">
        <f>IF($C210="","",Dashboard!$B$3)</f>
        <v>Kelly</v>
      </c>
      <c r="B210" t="str">
        <f t="shared" si="3"/>
        <v>JUNE</v>
      </c>
      <c r="C210" t="s">
        <v>151</v>
      </c>
      <c r="D210" s="6">
        <v>16185.49</v>
      </c>
      <c r="E210" t="s">
        <v>21</v>
      </c>
      <c r="F210" s="14">
        <v>1</v>
      </c>
      <c r="G210" s="6">
        <v>16185.49</v>
      </c>
      <c r="H210" t="s">
        <v>28</v>
      </c>
      <c r="I210" s="5">
        <v>45095</v>
      </c>
    </row>
    <row r="211" spans="1:10" x14ac:dyDescent="0.3">
      <c r="A211" t="str">
        <f>IF($C211="","",Dashboard!$B$3)</f>
        <v>Kelly</v>
      </c>
      <c r="B211" t="str">
        <f t="shared" si="3"/>
        <v>JUNE</v>
      </c>
      <c r="C211" t="s">
        <v>152</v>
      </c>
      <c r="D211" s="6">
        <v>14186.84</v>
      </c>
      <c r="E211" t="s">
        <v>21</v>
      </c>
      <c r="F211" s="14">
        <v>1</v>
      </c>
      <c r="G211" s="6">
        <v>14186.84</v>
      </c>
      <c r="H211" t="s">
        <v>14</v>
      </c>
      <c r="I211" s="5">
        <v>45095</v>
      </c>
    </row>
    <row r="212" spans="1:10" x14ac:dyDescent="0.3">
      <c r="A212" t="str">
        <f>IF($C212="","",Dashboard!$B$3)</f>
        <v>Kelly</v>
      </c>
      <c r="B212" t="str">
        <f t="shared" si="3"/>
        <v>JUNE</v>
      </c>
      <c r="C212" t="s">
        <v>155</v>
      </c>
      <c r="D212" s="6">
        <v>20215.72</v>
      </c>
      <c r="E212" t="s">
        <v>21</v>
      </c>
      <c r="F212" s="14">
        <v>1</v>
      </c>
      <c r="G212" s="6">
        <v>20215.72</v>
      </c>
      <c r="H212" t="s">
        <v>28</v>
      </c>
      <c r="I212" s="5">
        <v>45107</v>
      </c>
      <c r="J212" s="1" t="s">
        <v>156</v>
      </c>
    </row>
    <row r="213" spans="1:10" x14ac:dyDescent="0.3">
      <c r="A213" t="str">
        <f>IF($C213="","",Dashboard!$B$3)</f>
        <v>Kelly</v>
      </c>
      <c r="B213" t="str">
        <f t="shared" si="3"/>
        <v>JUNE</v>
      </c>
      <c r="C213" t="s">
        <v>157</v>
      </c>
      <c r="D213" s="6">
        <v>25209.05</v>
      </c>
      <c r="E213" t="s">
        <v>21</v>
      </c>
      <c r="F213" s="14">
        <v>1</v>
      </c>
      <c r="G213" s="6">
        <v>25209.05</v>
      </c>
      <c r="H213" t="s">
        <v>28</v>
      </c>
      <c r="I213" s="5">
        <v>45107</v>
      </c>
    </row>
    <row r="214" spans="1:10" x14ac:dyDescent="0.3">
      <c r="A214" t="str">
        <f>IF($C214="","",Dashboard!$B$3)</f>
        <v>Kelly</v>
      </c>
      <c r="B214" t="str">
        <f t="shared" si="3"/>
        <v>JUNE</v>
      </c>
      <c r="C214" t="s">
        <v>158</v>
      </c>
      <c r="D214" s="6">
        <v>24913.93</v>
      </c>
      <c r="E214" t="s">
        <v>21</v>
      </c>
      <c r="F214" s="14">
        <v>1</v>
      </c>
      <c r="G214" s="6">
        <v>24913.93</v>
      </c>
      <c r="H214" t="s">
        <v>28</v>
      </c>
      <c r="I214" s="5">
        <v>45107</v>
      </c>
    </row>
    <row r="215" spans="1:10" x14ac:dyDescent="0.3">
      <c r="A215" t="str">
        <f>IF($C215="","",Dashboard!$B$3)</f>
        <v>Kelly</v>
      </c>
      <c r="B215" t="str">
        <f t="shared" si="3"/>
        <v>JUNE</v>
      </c>
      <c r="C215" t="s">
        <v>159</v>
      </c>
      <c r="D215" s="6">
        <v>24890.21</v>
      </c>
      <c r="E215" t="s">
        <v>21</v>
      </c>
      <c r="F215" s="14">
        <v>1</v>
      </c>
      <c r="G215" s="6">
        <v>24890.21</v>
      </c>
      <c r="H215" t="s">
        <v>28</v>
      </c>
      <c r="I215" s="5">
        <v>45107</v>
      </c>
    </row>
    <row r="216" spans="1:10" x14ac:dyDescent="0.3">
      <c r="A216" t="str">
        <f>IF($C216="","",Dashboard!$B$3)</f>
        <v>Kelly</v>
      </c>
      <c r="B216" t="str">
        <f t="shared" si="3"/>
        <v>JUNE</v>
      </c>
      <c r="C216" t="s">
        <v>160</v>
      </c>
      <c r="D216" s="6">
        <v>21340.87</v>
      </c>
      <c r="E216" t="s">
        <v>21</v>
      </c>
      <c r="F216" s="14">
        <v>1</v>
      </c>
      <c r="G216" s="6">
        <v>21340.87</v>
      </c>
      <c r="H216" t="s">
        <v>36</v>
      </c>
      <c r="I216" s="5">
        <v>45107</v>
      </c>
    </row>
    <row r="217" spans="1:10" x14ac:dyDescent="0.3">
      <c r="A217" t="str">
        <f>IF($C217="","",Dashboard!$B$3)</f>
        <v>Kelly</v>
      </c>
      <c r="B217" t="str">
        <f t="shared" si="3"/>
        <v>JUNE</v>
      </c>
      <c r="C217" t="s">
        <v>161</v>
      </c>
      <c r="D217" s="6">
        <v>12590.03</v>
      </c>
      <c r="E217" t="s">
        <v>21</v>
      </c>
      <c r="F217" s="14">
        <v>1</v>
      </c>
      <c r="G217" s="6">
        <v>12590.03</v>
      </c>
      <c r="H217" t="s">
        <v>14</v>
      </c>
      <c r="I217" s="5">
        <v>45107</v>
      </c>
    </row>
    <row r="218" spans="1:10" x14ac:dyDescent="0.3">
      <c r="A218" t="str">
        <f>IF($C218="","",Dashboard!$B$3)</f>
        <v>Kelly</v>
      </c>
      <c r="B218" t="str">
        <f t="shared" si="3"/>
        <v>JULY</v>
      </c>
      <c r="C218" t="s">
        <v>166</v>
      </c>
      <c r="D218" s="6">
        <v>20845.490000000002</v>
      </c>
      <c r="E218" t="s">
        <v>21</v>
      </c>
      <c r="F218" s="14">
        <v>1</v>
      </c>
      <c r="G218" s="6">
        <v>20845.490000000002</v>
      </c>
      <c r="H218" t="s">
        <v>14</v>
      </c>
      <c r="I218" s="5">
        <v>45112</v>
      </c>
    </row>
    <row r="219" spans="1:10" x14ac:dyDescent="0.3">
      <c r="A219" t="str">
        <f>IF($C219="","",Dashboard!$B$3)</f>
        <v>Kelly</v>
      </c>
      <c r="B219" t="str">
        <f t="shared" si="3"/>
        <v>JULY</v>
      </c>
      <c r="C219" t="s">
        <v>167</v>
      </c>
      <c r="D219" s="6">
        <v>22032.55</v>
      </c>
      <c r="E219" t="s">
        <v>21</v>
      </c>
      <c r="F219" s="14">
        <v>1</v>
      </c>
      <c r="G219" s="6">
        <v>22032.55</v>
      </c>
      <c r="H219" t="s">
        <v>28</v>
      </c>
      <c r="I219" s="5">
        <v>45117</v>
      </c>
    </row>
    <row r="220" spans="1:10" x14ac:dyDescent="0.3">
      <c r="A220" t="str">
        <f>IF($C220="","",Dashboard!$B$3)</f>
        <v>Kelly</v>
      </c>
      <c r="B220" t="str">
        <f t="shared" si="3"/>
        <v>JULY</v>
      </c>
      <c r="C220" t="s">
        <v>168</v>
      </c>
      <c r="D220" s="6">
        <v>25458.05</v>
      </c>
      <c r="E220" t="s">
        <v>21</v>
      </c>
      <c r="F220" s="14">
        <v>1</v>
      </c>
      <c r="G220" s="6">
        <v>25458.05</v>
      </c>
      <c r="H220" t="s">
        <v>28</v>
      </c>
      <c r="I220" s="5">
        <v>45117</v>
      </c>
    </row>
    <row r="221" spans="1:10" x14ac:dyDescent="0.3">
      <c r="A221" t="str">
        <f>IF($C221="","",Dashboard!$B$3)</f>
        <v>Kelly</v>
      </c>
      <c r="B221" t="str">
        <f t="shared" si="3"/>
        <v>JULY</v>
      </c>
      <c r="C221" t="s">
        <v>171</v>
      </c>
      <c r="D221" s="6">
        <v>24890.21</v>
      </c>
      <c r="E221" t="s">
        <v>21</v>
      </c>
      <c r="F221" s="14">
        <v>1</v>
      </c>
      <c r="G221" s="6">
        <v>24890.21</v>
      </c>
      <c r="H221" t="s">
        <v>36</v>
      </c>
      <c r="I221" s="5">
        <v>45122</v>
      </c>
    </row>
    <row r="222" spans="1:10" x14ac:dyDescent="0.3">
      <c r="A222" t="str">
        <f>IF($C222="","",Dashboard!$B$3)</f>
        <v>Kelly</v>
      </c>
      <c r="B222" t="str">
        <f t="shared" si="3"/>
        <v>JULY</v>
      </c>
      <c r="C222" t="s">
        <v>172</v>
      </c>
      <c r="D222" s="6">
        <v>21340.87</v>
      </c>
      <c r="E222" t="s">
        <v>21</v>
      </c>
      <c r="F222" s="14">
        <v>1</v>
      </c>
      <c r="G222" s="6">
        <v>21340.87</v>
      </c>
      <c r="H222" t="s">
        <v>36</v>
      </c>
      <c r="I222" s="5">
        <v>45122</v>
      </c>
    </row>
    <row r="223" spans="1:10" x14ac:dyDescent="0.3">
      <c r="A223" t="str">
        <f>IF($C223="","",Dashboard!$B$3)</f>
        <v>Kelly</v>
      </c>
      <c r="B223" t="str">
        <f t="shared" si="3"/>
        <v>JULY</v>
      </c>
      <c r="C223" t="s">
        <v>173</v>
      </c>
      <c r="D223" s="6">
        <v>12590.03</v>
      </c>
      <c r="E223" t="s">
        <v>21</v>
      </c>
      <c r="F223" s="14">
        <v>1</v>
      </c>
      <c r="G223" s="6">
        <v>12590.03</v>
      </c>
      <c r="H223" t="s">
        <v>28</v>
      </c>
      <c r="I223" s="5">
        <v>45125</v>
      </c>
    </row>
    <row r="224" spans="1:10" x14ac:dyDescent="0.3">
      <c r="A224" t="str">
        <f>IF($C224="","",Dashboard!$B$3)</f>
        <v>Kelly</v>
      </c>
      <c r="B224" t="str">
        <f t="shared" si="3"/>
        <v>JULY</v>
      </c>
      <c r="C224" t="s">
        <v>175</v>
      </c>
      <c r="D224" s="6">
        <v>22582.49</v>
      </c>
      <c r="E224" t="s">
        <v>21</v>
      </c>
      <c r="F224" s="14">
        <v>1</v>
      </c>
      <c r="G224" s="6">
        <v>22582.49</v>
      </c>
      <c r="H224" t="s">
        <v>28</v>
      </c>
      <c r="I224" s="5">
        <v>45132</v>
      </c>
    </row>
    <row r="225" spans="1:9" x14ac:dyDescent="0.3">
      <c r="A225" t="str">
        <f>IF($C225="","",Dashboard!$B$3)</f>
        <v>Kelly</v>
      </c>
      <c r="B225" t="str">
        <f t="shared" si="3"/>
        <v>JULY</v>
      </c>
      <c r="C225" t="s">
        <v>176</v>
      </c>
      <c r="D225" s="6">
        <v>14709.19</v>
      </c>
      <c r="E225" t="s">
        <v>21</v>
      </c>
      <c r="F225" s="14">
        <v>1</v>
      </c>
      <c r="G225" s="6">
        <v>14709.19</v>
      </c>
      <c r="H225" t="s">
        <v>28</v>
      </c>
      <c r="I225" s="5">
        <v>45132</v>
      </c>
    </row>
    <row r="226" spans="1:9" x14ac:dyDescent="0.3">
      <c r="A226" t="str">
        <f>IF($C226="","",Dashboard!$B$3)</f>
        <v>Kelly</v>
      </c>
      <c r="B226" t="str">
        <f t="shared" si="3"/>
        <v>JULY</v>
      </c>
      <c r="C226" t="s">
        <v>177</v>
      </c>
      <c r="D226" s="6">
        <v>28259.759999999998</v>
      </c>
      <c r="E226" t="s">
        <v>21</v>
      </c>
      <c r="F226" s="14">
        <v>1</v>
      </c>
      <c r="G226" s="6">
        <v>28259.759999999998</v>
      </c>
      <c r="H226" t="s">
        <v>36</v>
      </c>
      <c r="I226" s="5">
        <v>45136</v>
      </c>
    </row>
    <row r="227" spans="1:9" x14ac:dyDescent="0.3">
      <c r="A227" t="str">
        <f>IF($C227="","",Dashboard!$B$3)</f>
        <v>Kelly</v>
      </c>
      <c r="B227" t="str">
        <f t="shared" si="3"/>
        <v>AUGUST</v>
      </c>
      <c r="C227" t="s">
        <v>181</v>
      </c>
      <c r="D227" s="6">
        <v>18046.03</v>
      </c>
      <c r="E227" t="s">
        <v>21</v>
      </c>
      <c r="F227" s="14">
        <v>1</v>
      </c>
      <c r="G227" s="6">
        <v>18046.03</v>
      </c>
      <c r="H227" t="s">
        <v>36</v>
      </c>
      <c r="I227" s="5">
        <v>45140</v>
      </c>
    </row>
    <row r="228" spans="1:9" x14ac:dyDescent="0.3">
      <c r="A228" t="str">
        <f>IF($C228="","",Dashboard!$B$3)</f>
        <v>Kelly</v>
      </c>
      <c r="B228" t="str">
        <f t="shared" si="3"/>
        <v>AUGUST</v>
      </c>
      <c r="C228" t="s">
        <v>34</v>
      </c>
      <c r="D228" s="6">
        <v>13926.67</v>
      </c>
      <c r="E228" t="s">
        <v>21</v>
      </c>
      <c r="F228" s="14">
        <v>1</v>
      </c>
      <c r="G228" s="6">
        <v>13926.67</v>
      </c>
      <c r="H228" t="s">
        <v>36</v>
      </c>
      <c r="I228" s="5">
        <v>45143</v>
      </c>
    </row>
    <row r="229" spans="1:9" x14ac:dyDescent="0.3">
      <c r="A229" t="str">
        <f>IF($C229="","",Dashboard!$B$3)</f>
        <v>Kelly</v>
      </c>
      <c r="B229" t="str">
        <f t="shared" si="3"/>
        <v>AUGUST</v>
      </c>
      <c r="C229" t="s">
        <v>184</v>
      </c>
      <c r="D229" s="6">
        <v>18238.54</v>
      </c>
      <c r="E229" t="s">
        <v>21</v>
      </c>
      <c r="F229" s="14">
        <v>1</v>
      </c>
      <c r="G229" s="6">
        <v>18238.54</v>
      </c>
      <c r="H229" t="s">
        <v>14</v>
      </c>
      <c r="I229" s="5">
        <v>45151</v>
      </c>
    </row>
    <row r="230" spans="1:9" x14ac:dyDescent="0.3">
      <c r="A230" t="str">
        <f>IF($C230="","",Dashboard!$B$3)</f>
        <v>Kelly</v>
      </c>
      <c r="B230" t="str">
        <f t="shared" si="3"/>
        <v>AUGUST</v>
      </c>
      <c r="C230" t="s">
        <v>139</v>
      </c>
      <c r="D230" s="6">
        <v>20176.12</v>
      </c>
      <c r="E230" t="s">
        <v>21</v>
      </c>
      <c r="F230" s="14">
        <v>1</v>
      </c>
      <c r="G230" s="6">
        <v>20176.12</v>
      </c>
      <c r="H230" t="s">
        <v>36</v>
      </c>
      <c r="I230" s="5">
        <v>45153</v>
      </c>
    </row>
    <row r="231" spans="1:9" x14ac:dyDescent="0.3">
      <c r="A231" t="str">
        <f>IF($C231="","",Dashboard!$B$3)</f>
        <v>Kelly</v>
      </c>
      <c r="B231" t="str">
        <f t="shared" si="3"/>
        <v>AUGUST</v>
      </c>
      <c r="C231" t="s">
        <v>185</v>
      </c>
      <c r="D231" s="6">
        <v>31095.71</v>
      </c>
      <c r="E231" t="s">
        <v>21</v>
      </c>
      <c r="F231" s="14">
        <v>1</v>
      </c>
      <c r="G231" s="6">
        <v>31095.71</v>
      </c>
      <c r="H231" t="s">
        <v>36</v>
      </c>
      <c r="I231" s="5">
        <v>45153</v>
      </c>
    </row>
    <row r="232" spans="1:9" x14ac:dyDescent="0.3">
      <c r="A232" t="str">
        <f>IF($C232="","",Dashboard!$B$3)</f>
        <v>Kelly</v>
      </c>
      <c r="B232" t="str">
        <f t="shared" si="3"/>
        <v>AUGUST</v>
      </c>
      <c r="C232" t="s">
        <v>188</v>
      </c>
      <c r="D232" s="6">
        <v>13787.51</v>
      </c>
      <c r="E232" t="s">
        <v>21</v>
      </c>
      <c r="F232" s="14">
        <v>1</v>
      </c>
      <c r="G232" s="6">
        <v>13787.51</v>
      </c>
      <c r="H232" t="s">
        <v>36</v>
      </c>
      <c r="I232" s="5">
        <v>45161</v>
      </c>
    </row>
    <row r="233" spans="1:9" x14ac:dyDescent="0.3">
      <c r="A233" t="str">
        <f>IF($C233="","",Dashboard!$B$3)</f>
        <v>Kelly</v>
      </c>
      <c r="B233" t="str">
        <f t="shared" si="3"/>
        <v>AUGUST</v>
      </c>
      <c r="C233" t="s">
        <v>190</v>
      </c>
      <c r="D233" s="6">
        <v>11486.48</v>
      </c>
      <c r="E233" t="s">
        <v>21</v>
      </c>
      <c r="F233" s="14">
        <v>1</v>
      </c>
      <c r="G233" s="6">
        <v>11486.48</v>
      </c>
      <c r="H233" t="s">
        <v>14</v>
      </c>
      <c r="I233" s="5">
        <v>45162</v>
      </c>
    </row>
    <row r="234" spans="1:9" x14ac:dyDescent="0.3">
      <c r="A234" t="str">
        <f>IF($C234="","",Dashboard!$B$3)</f>
        <v>Kelly</v>
      </c>
      <c r="B234" t="str">
        <f t="shared" si="3"/>
        <v>AUGUST</v>
      </c>
      <c r="C234" t="s">
        <v>192</v>
      </c>
      <c r="D234" s="6">
        <v>14793.57</v>
      </c>
      <c r="E234" t="s">
        <v>21</v>
      </c>
      <c r="F234" s="14">
        <v>1</v>
      </c>
      <c r="G234" s="6">
        <v>14793.57</v>
      </c>
      <c r="H234" t="s">
        <v>36</v>
      </c>
      <c r="I234" s="5">
        <v>45165</v>
      </c>
    </row>
    <row r="235" spans="1:9" x14ac:dyDescent="0.3">
      <c r="A235" t="str">
        <f>IF($C235="","",Dashboard!$B$3)</f>
        <v>Kelly</v>
      </c>
      <c r="B235" t="str">
        <f t="shared" si="3"/>
        <v>SEPTEMBER</v>
      </c>
      <c r="C235" t="s">
        <v>75</v>
      </c>
      <c r="D235" s="6">
        <v>14346.64</v>
      </c>
      <c r="E235" t="s">
        <v>21</v>
      </c>
      <c r="F235" s="14">
        <v>1</v>
      </c>
      <c r="G235" s="6">
        <v>14346.64</v>
      </c>
      <c r="H235" t="s">
        <v>36</v>
      </c>
      <c r="I235" s="5">
        <v>45170</v>
      </c>
    </row>
    <row r="236" spans="1:9" x14ac:dyDescent="0.3">
      <c r="A236" t="str">
        <f>IF($C236="","",Dashboard!$B$3)</f>
        <v>Kelly</v>
      </c>
      <c r="B236" t="str">
        <f t="shared" si="3"/>
        <v>SEPTEMBER</v>
      </c>
      <c r="C236" t="s">
        <v>196</v>
      </c>
      <c r="D236" s="6">
        <v>17890.29</v>
      </c>
      <c r="E236" t="s">
        <v>21</v>
      </c>
      <c r="F236" s="14">
        <v>1</v>
      </c>
      <c r="G236" s="6">
        <v>17890.29</v>
      </c>
      <c r="H236" t="s">
        <v>14</v>
      </c>
      <c r="I236" s="5">
        <v>45170</v>
      </c>
    </row>
    <row r="237" spans="1:9" x14ac:dyDescent="0.3">
      <c r="A237" t="str">
        <f>IF($C237="","",Dashboard!$B$3)</f>
        <v>Kelly</v>
      </c>
      <c r="B237" t="str">
        <f t="shared" si="3"/>
        <v>SEPTEMBER</v>
      </c>
      <c r="C237" t="s">
        <v>197</v>
      </c>
      <c r="D237" s="6">
        <v>17680.849999999999</v>
      </c>
      <c r="E237" t="s">
        <v>21</v>
      </c>
      <c r="F237" s="14">
        <v>1</v>
      </c>
      <c r="G237" s="6">
        <v>17680.849999999999</v>
      </c>
      <c r="H237" t="s">
        <v>14</v>
      </c>
      <c r="I237" s="5">
        <v>45170</v>
      </c>
    </row>
    <row r="238" spans="1:9" x14ac:dyDescent="0.3">
      <c r="A238" t="str">
        <f>IF($C238="","",Dashboard!$B$3)</f>
        <v>Kelly</v>
      </c>
      <c r="B238" t="str">
        <f t="shared" si="3"/>
        <v>SEPTEMBER</v>
      </c>
      <c r="C238" t="s">
        <v>199</v>
      </c>
      <c r="D238" s="6">
        <v>15145.13</v>
      </c>
      <c r="E238" t="s">
        <v>21</v>
      </c>
      <c r="F238" s="14">
        <v>1</v>
      </c>
      <c r="G238" s="6">
        <v>15145.13</v>
      </c>
      <c r="H238" t="s">
        <v>36</v>
      </c>
      <c r="I238" s="5">
        <v>45171</v>
      </c>
    </row>
    <row r="239" spans="1:9" x14ac:dyDescent="0.3">
      <c r="A239" t="str">
        <f>IF($C239="","",Dashboard!$B$3)</f>
        <v>Kelly</v>
      </c>
      <c r="B239" t="str">
        <f t="shared" si="3"/>
        <v>SEPTEMBER</v>
      </c>
      <c r="C239" t="s">
        <v>201</v>
      </c>
      <c r="D239" s="6">
        <v>13787.51</v>
      </c>
      <c r="E239" t="s">
        <v>21</v>
      </c>
      <c r="F239" s="14">
        <v>1</v>
      </c>
      <c r="G239" s="6">
        <v>13787.51</v>
      </c>
      <c r="H239" t="s">
        <v>36</v>
      </c>
      <c r="I239" s="5">
        <v>45174</v>
      </c>
    </row>
    <row r="240" spans="1:9" x14ac:dyDescent="0.3">
      <c r="A240" t="str">
        <f>IF($C240="","",Dashboard!$B$3)</f>
        <v>Kelly</v>
      </c>
      <c r="B240" t="str">
        <f t="shared" si="3"/>
        <v>SEPTEMBER</v>
      </c>
      <c r="C240" t="s">
        <v>18</v>
      </c>
      <c r="D240" s="6">
        <v>12193.334999999999</v>
      </c>
      <c r="E240" t="s">
        <v>21</v>
      </c>
      <c r="F240" s="26">
        <f t="shared" ref="F240:F244" si="4">IF($E240="","",IF($E240="IDENTIFIED",10%,IF($E240="QUALIFIED",40%,IF($E240="PROPOSAL",75%,100%))))</f>
        <v>1</v>
      </c>
      <c r="G240" s="6">
        <f t="shared" ref="G240:G244" si="5">IF(F240="","",D240*F240)</f>
        <v>12193.334999999999</v>
      </c>
      <c r="H240" t="s">
        <v>36</v>
      </c>
      <c r="I240" s="5">
        <v>45199</v>
      </c>
    </row>
    <row r="241" spans="1:10" x14ac:dyDescent="0.3">
      <c r="A241" t="str">
        <f>IF($C241="","",Dashboard!$B$3)</f>
        <v>Kelly</v>
      </c>
      <c r="B241" t="str">
        <f t="shared" si="3"/>
        <v>SEPTEMBER</v>
      </c>
      <c r="C241" t="s">
        <v>215</v>
      </c>
      <c r="D241" s="6">
        <v>16026.285</v>
      </c>
      <c r="E241" t="s">
        <v>21</v>
      </c>
      <c r="F241" s="26">
        <f t="shared" si="4"/>
        <v>1</v>
      </c>
      <c r="G241" s="6">
        <f t="shared" si="5"/>
        <v>16026.285</v>
      </c>
      <c r="H241" t="s">
        <v>36</v>
      </c>
      <c r="I241" s="5">
        <v>45199</v>
      </c>
      <c r="J241" s="1" t="s">
        <v>216</v>
      </c>
    </row>
    <row r="242" spans="1:10" x14ac:dyDescent="0.3">
      <c r="A242" t="str">
        <f>IF($C242="","",Dashboard!$B$3)</f>
        <v>Kelly</v>
      </c>
      <c r="B242" t="str">
        <f t="shared" si="3"/>
        <v>SEPTEMBER</v>
      </c>
      <c r="C242" t="s">
        <v>217</v>
      </c>
      <c r="D242" s="6">
        <v>10438.780000000001</v>
      </c>
      <c r="E242" t="s">
        <v>21</v>
      </c>
      <c r="F242" s="26">
        <f t="shared" si="4"/>
        <v>1</v>
      </c>
      <c r="G242" s="6">
        <f t="shared" si="5"/>
        <v>10438.780000000001</v>
      </c>
      <c r="H242" t="s">
        <v>14</v>
      </c>
      <c r="I242" s="5">
        <v>45199</v>
      </c>
    </row>
    <row r="243" spans="1:10" x14ac:dyDescent="0.3">
      <c r="A243" t="str">
        <f>IF($C243="","",Dashboard!$B$3)</f>
        <v>Kelly</v>
      </c>
      <c r="B243" t="str">
        <f t="shared" si="3"/>
        <v>OCTOBER</v>
      </c>
      <c r="C243" t="s">
        <v>221</v>
      </c>
      <c r="D243" s="6">
        <v>18866.21</v>
      </c>
      <c r="E243" t="s">
        <v>21</v>
      </c>
      <c r="F243" s="26">
        <f t="shared" si="4"/>
        <v>1</v>
      </c>
      <c r="G243" s="6">
        <f t="shared" si="5"/>
        <v>18866.21</v>
      </c>
      <c r="H243" t="s">
        <v>36</v>
      </c>
      <c r="I243" s="5">
        <v>45200</v>
      </c>
    </row>
    <row r="244" spans="1:10" ht="28.8" x14ac:dyDescent="0.3">
      <c r="A244" t="str">
        <f>IF($C244="","",Dashboard!$B$3)</f>
        <v>Kelly</v>
      </c>
      <c r="B244" t="str">
        <f t="shared" si="3"/>
        <v>OCTOBER</v>
      </c>
      <c r="C244" t="s">
        <v>224</v>
      </c>
      <c r="D244" s="6">
        <v>12083.28</v>
      </c>
      <c r="E244" t="s">
        <v>21</v>
      </c>
      <c r="F244" s="26">
        <f t="shared" si="4"/>
        <v>1</v>
      </c>
      <c r="G244" s="6">
        <f t="shared" si="5"/>
        <v>12083.28</v>
      </c>
      <c r="H244" t="s">
        <v>36</v>
      </c>
      <c r="I244" s="5">
        <v>45200</v>
      </c>
      <c r="J244" s="1" t="s">
        <v>225</v>
      </c>
    </row>
  </sheetData>
  <conditionalFormatting sqref="K4:K999">
    <cfRule type="expression" dxfId="5" priority="1">
      <formula>AND($C4&lt;&gt;"",$K4="")</formula>
    </cfRule>
  </conditionalFormatting>
  <dataValidations count="3">
    <dataValidation type="list" allowBlank="1" showInputMessage="1" showErrorMessage="1" sqref="K4:K244" xr:uid="{7F67CB49-834F-4071-A5FB-77A4931BBEC2}">
      <formula1>"NO BUDGET,COMPETITOR,NO RESPONSE,OTHER"</formula1>
    </dataValidation>
    <dataValidation type="list" allowBlank="1" showInputMessage="1" showErrorMessage="1" sqref="H240:H244" xr:uid="{6F0CC2D9-772E-47A9-B4BE-12B7D6B692F2}">
      <formula1>"RENEWAL,AD-HOC,NEW BUSINESS"</formula1>
    </dataValidation>
    <dataValidation type="list" allowBlank="1" showInputMessage="1" showErrorMessage="1" sqref="E240:E244" xr:uid="{8EB0436E-2AE9-48EA-9764-3EB49A2ED283}">
      <formula1>"IDENTIFIED,QUALIFIED,PROPOSAL,WON,LOST"</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Analysis</vt:lpstr>
      <vt:lpstr>Pipeline</vt:lpstr>
      <vt:lpstr>Won Deals</vt:lpstr>
      <vt:lpstr>Lost Deals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Daisy Rivera</dc:creator>
  <cp:lastModifiedBy>Daisy Rivera</cp:lastModifiedBy>
  <dcterms:created xsi:type="dcterms:W3CDTF">2023-09-09T20:13:28Z</dcterms:created>
  <dcterms:modified xsi:type="dcterms:W3CDTF">2023-09-14T02:00:13Z</dcterms:modified>
</cp:coreProperties>
</file>